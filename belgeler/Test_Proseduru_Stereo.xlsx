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sla\OneDrive\Desktop\mühtas2\"/>
    </mc:Choice>
  </mc:AlternateContent>
  <xr:revisionPtr revIDLastSave="0" documentId="13_ncr:1_{8810AAA8-2F15-4969-8850-AB0E78980529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0_Test_Plani_Ozeti" sheetId="1" r:id="rId1"/>
    <sheet name="T01_Sistem_Baslat" sheetId="2" r:id="rId2"/>
    <sheet name="T02_Kamera_I2C" sheetId="3" r:id="rId3"/>
    <sheet name="T03_MIPI_Goruntu" sheetId="4" r:id="rId4"/>
    <sheet name="T04_VDMA_DDR3" sheetId="5" r:id="rId5"/>
    <sheet name="T05_UDP_Iletimi" sheetId="6" r:id="rId6"/>
    <sheet name="T06_Python_Alici" sheetId="7" r:id="rId7"/>
    <sheet name="T07_Goruntu_Gosterimi" sheetId="8" r:id="rId8"/>
    <sheet name="T08_Distorsiyon" sheetId="9" r:id="rId9"/>
    <sheet name="T09_Stereo_Kalibrasyon" sheetId="10" r:id="rId10"/>
    <sheet name="T10_Stereo_Rektifikasyon" sheetId="11" r:id="rId11"/>
    <sheet name="T11_Disparity_Derinlik" sheetId="12" r:id="rId12"/>
    <sheet name="T12_Panorama" sheetId="13" r:id="rId13"/>
    <sheet name="T13_UART_Log" sheetId="14" r:id="rId14"/>
    <sheet name="T14_Hata_Yonetimi" sheetId="15" r:id="rId15"/>
    <sheet name="T15_Donanim" sheetId="16" r:id="rId16"/>
    <sheet name="T16_Stereo_Aparat" sheetId="17" r:id="rId17"/>
    <sheet name="T17_Performan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" l="1"/>
</calcChain>
</file>

<file path=xl/sharedStrings.xml><?xml version="1.0" encoding="utf-8"?>
<sst xmlns="http://schemas.openxmlformats.org/spreadsheetml/2006/main" count="675" uniqueCount="545">
  <si>
    <t>MÜHTAS-2 – TEST PROSEDÜRÜ VE DOĞRULAMA DOKÜMANI</t>
  </si>
  <si>
    <t>FPGA Tabanlı Stereo Kamera Gimbal Görüntüleme Sistemi (MÜHTAS-2)  |  Kocaeli Üniversitesi 2025–2026</t>
  </si>
  <si>
    <t>Proje</t>
  </si>
  <si>
    <t>MÜHTAS-2</t>
  </si>
  <si>
    <t>Öğrenci</t>
  </si>
  <si>
    <t>Sena Sümeyye DURARSLAN (220208041)</t>
  </si>
  <si>
    <t>Danışman</t>
  </si>
  <si>
    <t>Doç. Dr. Anıl ÇELEBİ</t>
  </si>
  <si>
    <t>Tarih</t>
  </si>
  <si>
    <t>2026</t>
  </si>
  <si>
    <t>Platform</t>
  </si>
  <si>
    <t>ZedBoard Zynq-7020 + FMC Pcam Adaptör</t>
  </si>
  <si>
    <t>SRS Referansı</t>
  </si>
  <si>
    <t>Programlama</t>
  </si>
  <si>
    <t>JTAG (Vivado 2022.1 + Vitis 2022.1)</t>
  </si>
  <si>
    <t>Kamera</t>
  </si>
  <si>
    <t>2× Pcam 5C (OV5640, MIPI CSI-2)</t>
  </si>
  <si>
    <t>Ethernet</t>
  </si>
  <si>
    <t>100BASE-TX, UDP</t>
  </si>
  <si>
    <t>PC Yazılımı</t>
  </si>
  <si>
    <t>Python 3.13.3 / OpenCV 4.13.0</t>
  </si>
  <si>
    <t>ZedBoard IP</t>
  </si>
  <si>
    <t>192.168.1.50</t>
  </si>
  <si>
    <t>Yerel UDP</t>
  </si>
  <si>
    <t>5005 (ZedBoard TX)</t>
  </si>
  <si>
    <t>7000 (PC RX)</t>
  </si>
  <si>
    <t>Çözünürlük</t>
  </si>
  <si>
    <t>960×540 (Video Scaler)</t>
  </si>
  <si>
    <t>TEST KAPSAMI ÖZETİ</t>
  </si>
  <si>
    <t>Test Kategorisi</t>
  </si>
  <si>
    <t>Test Sayısı</t>
  </si>
  <si>
    <t>SRS Referansları</t>
  </si>
  <si>
    <t>T01 – Sistem Başlatma &amp; JTAG Programlama</t>
  </si>
  <si>
    <t>FR-01, FR-02, SW-01, SW-02, IR-09</t>
  </si>
  <si>
    <t>T02 – Kamera Başlatma &amp; I2C</t>
  </si>
  <si>
    <t>FR-03, FR-04, FR-05, SW-03, SW-04, IR-03</t>
  </si>
  <si>
    <t>T03 – MIPI CSI-2 Görüntü Yakalama</t>
  </si>
  <si>
    <t>FR-06, FR-07, FR-08, IR-01, IR-02</t>
  </si>
  <si>
    <t>T04 – AXI VDMA &amp; DDR3 Tampon Yönetimi</t>
  </si>
  <si>
    <t>FR-08, FR-09, FR-10, SW-05, SW-06, SW-07, IR-04, IR-05</t>
  </si>
  <si>
    <t>T05 – UDP İletimi &amp; Ağ</t>
  </si>
  <si>
    <t>FR-11, FR-12, FR-13, FR-14, SW-08, SW-09, SW-10, IR-07, IR-14</t>
  </si>
  <si>
    <t>T06 – PC Python Alıcı</t>
  </si>
  <si>
    <t>FR-15, FR-16, FR-17, SW-13, SW-14, SW-15, IR-10</t>
  </si>
  <si>
    <t>T07 – Görüntü Gösterimi</t>
  </si>
  <si>
    <t>FR-18, IR-11</t>
  </si>
  <si>
    <t>T08 – Distorsiyon Düzeltme (Undistortion)</t>
  </si>
  <si>
    <t>FR-19, SW-21, IR-13</t>
  </si>
  <si>
    <t>T09 – Stereo Kalibrasyon</t>
  </si>
  <si>
    <t>FR-20, SW-21, IR-13</t>
  </si>
  <si>
    <t>T10 – Stereo Rektifikasyon</t>
  </si>
  <si>
    <t>FR-21, SW-21, IR-13</t>
  </si>
  <si>
    <t>T11 – Disparity &amp; Derinlik Haritası</t>
  </si>
  <si>
    <t>FR-22, FR-23, SW-22, IR-11</t>
  </si>
  <si>
    <t>T12 – Panorama Gösterimi</t>
  </si>
  <si>
    <t>FR-24, IR-11</t>
  </si>
  <si>
    <t>T13 – UART Loglama &amp; Debug</t>
  </si>
  <si>
    <t>FR-25, FR-26, SW-16, IR-08</t>
  </si>
  <si>
    <t>T14 – Hata Yönetimi &amp; Kurtarma</t>
  </si>
  <si>
    <t>FR-27, FR-28, FR-29, FR-30, SW-12</t>
  </si>
  <si>
    <t>T15 – Donanım &amp; Arayüz Doğrulama</t>
  </si>
  <si>
    <t>HW-01–HW-13, IR-01–IR-16</t>
  </si>
  <si>
    <t>T16 – Stereo Aparat &amp; Baseline</t>
  </si>
  <si>
    <t>HW-10, G-14</t>
  </si>
  <si>
    <t>T17 – Performans &amp; Verim</t>
  </si>
  <si>
    <t>FR-18, FR-22, FR-23, FR-24, SW-10, SW-11</t>
  </si>
  <si>
    <t>TOPLAM</t>
  </si>
  <si>
    <t>Tüm SRS gereksinimleri (FR-01–31, SW-01–22, HW-01–31, IR-01–16)</t>
  </si>
  <si>
    <t>T01 – SİSTEM BAŞLATMA &amp; JTAG PROGRAMLAMA TESTİ</t>
  </si>
  <si>
    <t>Test ID</t>
  </si>
  <si>
    <t>SRS Ref</t>
  </si>
  <si>
    <t>Test Adı</t>
  </si>
  <si>
    <t>Ön Koşul</t>
  </si>
  <si>
    <t>Test Adımları</t>
  </si>
  <si>
    <t>Beklenen Sonuç</t>
  </si>
  <si>
    <t>Geçme Kriteri</t>
  </si>
  <si>
    <t>T01-01</t>
  </si>
  <si>
    <t>Vivado XSA Export &amp; Vitis Platform Oluşturma</t>
  </si>
  <si>
    <t>Vivado 2022.1 yüklü; PL bit akışı sentezlenmiş ve uygulanmış.</t>
  </si>
  <si>
    <t>1. Vivado → File → Export Hardware → Include Bitstream → .xsa oluştur.
2. Vitis → Create Platform Project → .xsa seç.
3. Platform Build çalıştır.
4. Application Project oluştur → Bare Metal seç.
5. main.cc, network.c/h ve diğer kaynak dosyaları ekle.
6. Build Project ile derle.</t>
  </si>
  <si>
    <t>.xsa hatasız export edilir. Vitis platform build başarılı. ELF dosyası hata olmadan oluşur.</t>
  </si>
  <si>
    <t>Build: 0 error. ELF &gt; 0 bayt.</t>
  </si>
  <si>
    <t>T01-02</t>
  </si>
  <si>
    <t>FR-01
SW-01
HW-02
IR-09</t>
  </si>
  <si>
    <t>JTAG ile PL Bit Akışı + PS Uygulaması Yükleme</t>
  </si>
  <si>
    <t>T01-01 başarılı; JTAG kablosu bağlı; ZedBoard'a güç verilmiş.</t>
  </si>
  <si>
    <t>1. Vitis → Run → Run Configurations → JTAG bağlantısı seç.
2. Run düğmesine bas (PL bit akışı + PS ELF JTAG üzerinden yüklenir).
3. UART terminali aç (115200-8-N-1).
4. ZedBoard DONE LED'ini gözlemle.
5. UART çıktısını kaydet.</t>
  </si>
  <si>
    <t>Vitis 'Launch on Hardware' başarı mesajı. DONE LED yeşil. UART'ta ilk log mesajı.</t>
  </si>
  <si>
    <t>DONE LED aktif. UART'ta ≤5 sn içinde mesaj.</t>
  </si>
  <si>
    <t>T01-03</t>
  </si>
  <si>
    <t>FR-02
SW-02
IR-08</t>
  </si>
  <si>
    <t>Önyükleme Sırası UART Log Doğrulama</t>
  </si>
  <si>
    <t>T01-02 başarılı; UART terminal açık.</t>
  </si>
  <si>
    <t>1. Vitis Run yap.
2. UART terminalinde sırayla bekle:
   a) DDR3 başlatma [OK]
   b) GEM/lwIP başlatma [OK]
   c) Kamera başlatma [OK]
   d) Ana döngü başladı [OK]
3. Her adımın [OK] etiketi içerdiğini doğrula.
4. UART çıktısını ekran görüntüsü al.</t>
  </si>
  <si>
    <t>4 adımın tümü [OK] ile UART'a yazılır. Sıra değişmez. [HATA] etiketi görünmez.</t>
  </si>
  <si>
    <t>4 adım [OK]. ≤10 sn içinde ana döngüye girilir.</t>
  </si>
  <si>
    <t>T01-04</t>
  </si>
  <si>
    <t>FR-01
HW-02</t>
  </si>
  <si>
    <t>Güç Kesimi Sonrası Yeniden Programlama</t>
  </si>
  <si>
    <t>Sistem çalışıyor.</t>
  </si>
  <si>
    <t>1. ZedBoard güç adaptörünü söküm.
2. 10 sn bekle.
3. Güç ver; UART terminalini izle.
4. UART'ta hiç mesaj çıkmadığını doğrula (SD kart yok).
5. Vitis Run ile yeniden programla.
6. Önyükleme sırası tekrar doğrula.</t>
  </si>
  <si>
    <t>Güç kesimi → UART sessiz. Yeniden programlama sonrası sistem normal çalışır.</t>
  </si>
  <si>
    <t>Güç kesimi → UART sessiz. Run sonrası önyükleme logu normal.</t>
  </si>
  <si>
    <t>T02 – KAMERA BAŞLATMA &amp; I2C TESTİ</t>
  </si>
  <si>
    <t>T02-01</t>
  </si>
  <si>
    <t>FR-03
SW-03
SW-04
IR-03</t>
  </si>
  <si>
    <t>Her İki Kameranın I2C ile Başlatılması</t>
  </si>
  <si>
    <t>T01-03 başarılı; her iki Pcam 5C FMC adaptöre takılı.</t>
  </si>
  <si>
    <t>1. Vitis Run ile sistemi başlat.
2. UART terminalinde 'Kamera A OK' ve 'Kamera B OK' mesajlarını bekle.
3. Mesajların ≤2 saniye içinde göründüğünü doğrula.
4. Başlatma süresini kronometreyle ölç.</t>
  </si>
  <si>
    <t>Her iki kamera için I2C başlatma başarılı. UART: Kamera A OK, Kamera B OK.</t>
  </si>
  <si>
    <t>UART'ta her iki kamera için [OK]. Süre ≤2 sn.</t>
  </si>
  <si>
    <t>T02-02</t>
  </si>
  <si>
    <t>FR-04
SW-03</t>
  </si>
  <si>
    <t>OV5640 Çözünürlük Kaydı Doğrulama (1080p)</t>
  </si>
  <si>
    <t>T02-01 başarılı; I2C analizörü bağlı.</t>
  </si>
  <si>
    <t>1. #define ile 1080p seç.
2. Vitis Run.
3. I2C analizörü ile OV5640 kayıtlarını yakala.
4. H_output_size = 0x0780 (1920), V = 0x0438 (1080) doğrula.
5. FPGA Video Scaler çıkışı 960×540 olduğunu Python'da frame.shape ile doğrula.</t>
  </si>
  <si>
    <t>I2C kayıtları 1080p değerleri içeriyor. Python: frame.shape = (540,960,3).</t>
  </si>
  <si>
    <t>H=0x0780, V=0x0438. frame.shape=(540,960,3).</t>
  </si>
  <si>
    <t>T02-03</t>
  </si>
  <si>
    <t>FR-05
HW-11
IR-03</t>
  </si>
  <si>
    <t>TCA9546 I2C Mux Kanal Anahtarlama</t>
  </si>
  <si>
    <t>I2C analizörü bağlı; her iki kamera takılı.</t>
  </si>
  <si>
    <t>1. I2C analizörü ile bus trafiğini kaydet.
2. TCA9546 (0x70) kanal seçim baytını gözlemle.
3. Kamera A: 0x01 (Kanal 0).
4. Kamera B: 0x02 (Kanal 1).
5. Her kanalda OV5640 (0x3C) bağımsız erişim teyit et.</t>
  </si>
  <si>
    <t>TCA9546 doğru kanal seçiyor. Her kamera bağımsız başlatılıyor.</t>
  </si>
  <si>
    <t>I2C: 0x70→0x01 (A), 0x70→0x02 (B). Adres çakışması yok.</t>
  </si>
  <si>
    <t>T02-04</t>
  </si>
  <si>
    <t>FR-27
SW-12</t>
  </si>
  <si>
    <t>Tek Kamera Hata Toleransı</t>
  </si>
  <si>
    <t>İki kamera takılı; sistem çalışıyor.</t>
  </si>
  <si>
    <t>1. Kamera B'yi FMC adaptörden çıkar.
2. Vitis Run.
3. UART'ta hata mesajı + ×3 yeniden deneme loglarını gözlemle.
4. Sistem Kamera A ile devam ediyor mu doğrula.
5. PC'de yalnızca Kamera A penceresini doğrula.</t>
  </si>
  <si>
    <t>×3 yeniden deneme UART'ta görünür. Sistem durmaz. Kamera A akışı devam eder.</t>
  </si>
  <si>
    <t>×3 yeniden deneme + hata logu. Kamera A akışı devam.</t>
  </si>
  <si>
    <t>T02-05</t>
  </si>
  <si>
    <t>SW-04
IR-03</t>
  </si>
  <si>
    <t>I2C Hız Doğrulama (100 kHz)</t>
  </si>
  <si>
    <t>I2C analizörü bağlı.</t>
  </si>
  <si>
    <t>1. I2C analizörü ile SCL frekansını ölç.
2. SCL periyodunu ölç: beklenen ≈10 µs (100 kHz).
3. Tüm I2C işlemlerinde ACK sinyali varlığını doğrula.</t>
  </si>
  <si>
    <t>SCL ≈100 kHz (±%10). Tüm frame'lerde ACK.</t>
  </si>
  <si>
    <t>SCL: 90–110 kHz. Tüm frame'lerde ACK.</t>
  </si>
  <si>
    <t>T03 – MIPI CSI-2 GÖRÜNTÜ YAKALAMA TESTİ</t>
  </si>
  <si>
    <t>T03-01</t>
  </si>
  <si>
    <t>FR-06
IR-01
IR-02</t>
  </si>
  <si>
    <t>Eş Zamanlı MIPI Veri Akışı (ILA)</t>
  </si>
  <si>
    <t>T02 testleri başarılı; Vivado Hardware Manager'da ILA aktif.</t>
  </si>
  <si>
    <t>1. Vivado Hardware Manager → ZedBoard bağlan.
2. ILA'da Kamera A için axis_tvalid=1 tetikleyici kur.
3. ILA'yı tetikle; dalga formunu kaydet.
4. axis_tdata ≠ 0 doğrula.
5. Aynı testi Kamera B için tekrarla.
6. Her iki kameranın eş zamanlı veri ürettiğini doğrula.</t>
  </si>
  <si>
    <t>Her iki MIPI yolunda axis_tvalid=1 ve geçerli piksel verisi eş zamanlı.</t>
  </si>
  <si>
    <t>axis_tvalid=1 ve axis_tdata≠0 her iki kamera yolunda. Eş zamanlı aktif.</t>
  </si>
  <si>
    <t>T03-02</t>
  </si>
  <si>
    <t>FR-07
IR-01
IR-02</t>
  </si>
  <si>
    <t>AXI4-Stream VDMA Yazma Kanalı Doğrulama</t>
  </si>
  <si>
    <t>T03-01 başarılı; ILA aktif.</t>
  </si>
  <si>
    <t>1. ILA'da VDMA yazma AXI4-Stream sinyallerini izle.
2. s_axis_s2mm_tvalid ve tready eş zamanlı yüksek doğrula.
3. tuser=1 kare başlangıcını yakala.
4. Her iki VDMA için bağımsız kare başlangıcı doğrula.</t>
  </si>
  <si>
    <t>tvalid=1 ve tready=1 aynı clock döngüsünde. tuser=1 her kare başında.</t>
  </si>
  <si>
    <t>tvalid &amp; tready=1 eş zamanlı. tuser=1 her kare başında.</t>
  </si>
  <si>
    <t>T03-03</t>
  </si>
  <si>
    <t>FR-08
SW-05
HW-22
HW-23</t>
  </si>
  <si>
    <t>Video Scaler + VDMA Kare Yazma Hızı</t>
  </si>
  <si>
    <t>T03-02 başarılı; sistem çalışıyor.</t>
  </si>
  <si>
    <t>1. UART'ta VDMA kare sayacı logunu izle.
2. 10 sn boyunca kare sayısını say.
3. Kare hızını hesapla: kare/10 = fps.
4. ≥15 fps doğrula.
5. Python'da frame.shape=(540,960,3) doğrula.</t>
  </si>
  <si>
    <t>Kare hızı ≥15 fps. frame.shape=(540,960,3).</t>
  </si>
  <si>
    <t>≥15 fps (10 sn test). frame.shape doğru.</t>
  </si>
  <si>
    <t>T03-04</t>
  </si>
  <si>
    <t>FR-09
IR-05</t>
  </si>
  <si>
    <t>VDMA Kare-Tamamlandı Kesmesi Doğrulama</t>
  </si>
  <si>
    <t>ILA aktif; kesme sinyali probe'a bağlı.</t>
  </si>
  <si>
    <t>1. ILA'da S2MM IRQ sinyalini probe olarak ekle.
2. Kare başlangıcından IRQ'ya süreyi gözlemle.
3. Kesme tabanlı bildirim çalışıyor mu doğrula.
4. UART kare sayacının her kesmede arttığını doğrula.</t>
  </si>
  <si>
    <t>Kesme tabanlı bildirim çalışıyor. Kare sayacı monoton artıyor.</t>
  </si>
  <si>
    <t>IRQ kesmesi gözlemlendi. Kare sayacı monoton artar.</t>
  </si>
  <si>
    <t>T04 – AXI VDMA &amp; DDR3 TAMPON YÖNETİMİ TESTİ</t>
  </si>
  <si>
    <t>T04-01</t>
  </si>
  <si>
    <t>FR-08
SW-05
IR-04</t>
  </si>
  <si>
    <t>DDR3 Kare Tamponu Bellek Haritası Doğrulama</t>
  </si>
  <si>
    <t>Sistem çalışıyor; Vivado Memory Editor erişimi.</t>
  </si>
  <si>
    <t>1. UART'tan kare taban adresini oku (0x0A000000).
2. Vivado Memory Editor'da bu adresleri oku.
3. Port A ve B tampon bölgelerinin çakışmadığını doğrula.
4. İlk 16 piksel ≠ 0 doğrula.
5. Toplam tampon: 2 kamera × 3 yuva × 960×540×3 ≈ 9,4 MB doğrula.</t>
  </si>
  <si>
    <t>Tampon bölgeleri çakışmıyor. İlk piksel ≠ 0x00.</t>
  </si>
  <si>
    <t>Adresler çakışmıyor. Piksel dump ≠ 0x00.</t>
  </si>
  <si>
    <t>T04-02</t>
  </si>
  <si>
    <t>FR-10
SW-07</t>
  </si>
  <si>
    <t>DDR3 → PS Kare Kopyalama Süresi</t>
  </si>
  <si>
    <t>Sistem çalışıyor; UART zamanlayıcı aktif.</t>
  </si>
  <si>
    <t>1. Kare kopyalama fonksiyonuna XTime zamanlayıcı ekle.
2. Süreyi ms cinsinden UART'a yazdır.
3. 20 kare için süre değerlerini kaydet.
4. Ortalama ve maksimum hesapla.</t>
  </si>
  <si>
    <t>960×540 RGB kare hızlı şekilde kopyalanır (hedef: düşük gecikme).</t>
  </si>
  <si>
    <t>20 kare ölçümü tamamlandı. Ortalama değer kaydedildi.</t>
  </si>
  <si>
    <t>T04-03</t>
  </si>
  <si>
    <t>FR-09
SW-06
IR-05</t>
  </si>
  <si>
    <t>Kesme Tabanlı Kare Yönetimi</t>
  </si>
  <si>
    <t>T04-01 başarılı; UART kare sayacı aktif.</t>
  </si>
  <si>
    <t>1. UART'ta kare sayacı logunu izle.
2. Her kesme sonrası sayacın arttığını doğrula.
3. 60 sn boyunca CPU yoklaması olmadan akışın devam ettiğini gözlemle.</t>
  </si>
  <si>
    <t>Her VDMA kesmesinde kare sayacı artar. CPU yoklaması kullanılmaz.</t>
  </si>
  <si>
    <t>60 sn boyunca kesme tabanlı akış. Sayaç monoton artar.</t>
  </si>
  <si>
    <t>T04-04</t>
  </si>
  <si>
    <t>SW-07
SW-07
IR-04</t>
  </si>
  <si>
    <t>Tampon Yönetimi – Çakışma Testi</t>
  </si>
  <si>
    <t>Her iki kamera aktif; UART tampon logu aktif.</t>
  </si>
  <si>
    <t>1. UART'ta tampon logu izle.
2. 60 sn boyunca VDMA–PS çakışma olayı gözlemle.
3. Tampon-dolu bayraklarının doğru çalıştığını doğrula.</t>
  </si>
  <si>
    <t>60 sn boyunca çakışma olayı yok.</t>
  </si>
  <si>
    <t>60 sn: çakışma = 0. Bayraklar doğru.</t>
  </si>
  <si>
    <t>T05 – UDP İLETİMİ &amp; AĞ TESTİ</t>
  </si>
  <si>
    <t>T05-01</t>
  </si>
  <si>
    <t>FR-13
SW-08
IR-07</t>
  </si>
  <si>
    <t>Ağ Bağlantısı &amp; ARP Doğrulama</t>
  </si>
  <si>
    <t>T01-03 başarılı; PC IP 192.168.1.100; Wireshark açık.</t>
  </si>
  <si>
    <t>1. Wireshark'ta 'arp' filtresi uygula.
2. ZedBoard ARP isteği gönderdiğini doğrula (Kaynak: ZedBoard MAC).
3. PC'den ping: ping 192.168.1.50 -n 10
4. Ping yanıtı ≤10 ms doğrula.
5. UART'ta '[NET] Board IP: 192.168.1.50' logunu doğrula.</t>
  </si>
  <si>
    <t>ARP çözümleme başarılı. Ping ≤10 ms. UART IP logu doğru.</t>
  </si>
  <si>
    <t>Ping ≤10 ms. ARP Wireshark'ta gözlemlendi. UART log doğru.</t>
  </si>
  <si>
    <t>T05-02</t>
  </si>
  <si>
    <t>FR-11
SW-09
IR-14</t>
  </si>
  <si>
    <t>UDP Paket Başlığı Yapısı Doğrulama (12 Bayt)</t>
  </si>
  <si>
    <t>T05-01 başarılı; Wireshark kayıt yapıyor.</t>
  </si>
  <si>
    <t>1. Wireshark 'udp.port==7000' filtresi.
2. Bir paketi seç → ham baytları incele.
3. Bayt 0-3: frame_id (u32, big-endian).
4. Bayt 4-5: packet_id (u16).
5. Bayt 6-7: total_packets (u16).
6. Bayt 8-9: payload_size (u16) = 1400 (0x0578).
7. Bayt 10: port_id = 0 (Kamera A) veya 1 (Kamera B).
8. Bayt 11: reserved = 0x00.
9. frame_id'nin her kare için arttığını doğrula.</t>
  </si>
  <si>
    <t>12 bayt başlık SRS frame_pkt_hdr_t yapısıyla eşleşiyor. frame_id monoton artar.</t>
  </si>
  <si>
    <t>12 bayt başlık doğru. port_id 0 ve 1 doğrulandı.</t>
  </si>
  <si>
    <t>T05-03</t>
  </si>
  <si>
    <t>FR-12
SW-10</t>
  </si>
  <si>
    <t>UDP Yük Boyutu Karşılaştırma (64/128/512/1024/1400 B)</t>
  </si>
  <si>
    <t>Sistem çalışıyor; Wireshark kayıt yapıyor.</t>
  </si>
  <si>
    <t>Her yük boyutu için:
1. #define ile yük boyutunu değiştir.
2. Yeniden derle ve Vitis Run.
3. 30 sn Wireshark kaydı al.
4. Statistics → IO Graph ile Mbps ölç.
5. Tabloyu doldur:
   64B → __ Mbps
   128B → __ Mbps
   512B → __ Mbps
   1024B → __ Mbps
   1400B → __ Mbps</t>
  </si>
  <si>
    <t>Verim yük boyutuyla monoton artar.</t>
  </si>
  <si>
    <t>Verim tablosu tamamlandı. Monoton artış gözlemlendi.</t>
  </si>
  <si>
    <t>T05-04</t>
  </si>
  <si>
    <t>FR-14
SW-09</t>
  </si>
  <si>
    <t>Çift Kamera UDP Çoğullama – port_id Doğrulama</t>
  </si>
  <si>
    <t>Her iki kamera aktif; Wireshark kayıt yapıyor.</t>
  </si>
  <si>
    <t>1. Wireshark 'udp.port==7000' filtresi.
2. Kamera A: bayt 10 = 0x00.
3. Kamera B: bayt 10 = 0x01.
4. Her iki kamera ID'sinin aynı anda geldiğini doğrula.
5. 30 sn sürekli akış doğrula.</t>
  </si>
  <si>
    <t>port_id=0 ve port_id=1 paketleri bağımsız akıyor.</t>
  </si>
  <si>
    <t>port_id=0 ve port_id=1 Wireshark'ta doğrulandı. 30 sn akış.</t>
  </si>
  <si>
    <t>T05-05</t>
  </si>
  <si>
    <t>FR-13
IR-07</t>
  </si>
  <si>
    <t>ZedBoard IP &amp; Port Yapılandırması</t>
  </si>
  <si>
    <t>Wireshark kayıt yapıyor.</t>
  </si>
  <si>
    <t>1. Kaynak IP: 192.168.1.50 doğrula.
2. Yerel port: 5005 doğrula.
3. Hedef IP: 192.168.1.100, hedef port: 7000 doğrula.
4. UART'ta IP loglarını doğrula.</t>
  </si>
  <si>
    <t>Kaynak: 192.168.1.50:5005. Hedef: 192.168.1.100:7000.</t>
  </si>
  <si>
    <t>Wireshark IP/port SRS ile uyumlu.</t>
  </si>
  <si>
    <t>T05-06</t>
  </si>
  <si>
    <t>SW-11
IR-07</t>
  </si>
  <si>
    <t>FPS Sınırlayıcı &amp; Ethernet Taşma Testi</t>
  </si>
  <si>
    <t>1. FPS sınırlayıcısını ≤15 fps ayarla.
2. Vitis Run.
3. Wireshark'ta ≈15 kare/sn doğrula.
4. Ethernet taşma (TX hata) olmadığını doğrula.</t>
  </si>
  <si>
    <t>≤15 fps ayarında Wireshark'ta ≈15 kare/sn. Ethernet taşması yok.</t>
  </si>
  <si>
    <t>FPS sınırlayıcı çalışıyor. TX hata = 0.</t>
  </si>
  <si>
    <t>T06 – PC PYTHON ALICI TESTİ</t>
  </si>
  <si>
    <t>T06-01</t>
  </si>
  <si>
    <t>SW-13
FR-15
IR-10</t>
  </si>
  <si>
    <t>Python Alıcı Kurulum ve Soket Bağlama</t>
  </si>
  <si>
    <t>Python 3.13.3, OpenCV 4.13.0, numpy yüklü.</t>
  </si>
  <si>
    <t>Soket port 7000'e bağlanır. İlk paket logu görünür. Hata yok.</t>
  </si>
  <si>
    <t>Soket: 0 error. Port 7000 bağlı. İlk paket alındı logu.</t>
  </si>
  <si>
    <t>T06-02</t>
  </si>
  <si>
    <t>FR-16
SW-15</t>
  </si>
  <si>
    <t>Çerçeve Yeniden Birleştirme &amp; Paket Kaybı Tespiti</t>
  </si>
  <si>
    <t>T06-01 başarılı; UDP gönderiliyor.</t>
  </si>
  <si>
    <t>1. FRAME_TIMEOUT=0.2 s ve MAX_PENDING=2 kontrol et.
2. Kasıtlı paket düşür (Firewall ile).
3. 200 ms sonra drop log mesajını kaydet.
4. Drop sayacının arttığını doğrula.
5. Sistem diğer kareleri almaya devam ediyor mu doğrula.</t>
  </si>
  <si>
    <t>200 ms sonra drop log. Drop sayacı artar. Sistem devam eder.</t>
  </si>
  <si>
    <t>Drop log görüldü. Sayaç arttı. Sistem devam ediyor.</t>
  </si>
  <si>
    <t>T06-03</t>
  </si>
  <si>
    <t>FR-17
SW-14
IR-14</t>
  </si>
  <si>
    <t>Ham Bayt → NumPy → BGR Dönüşüm</t>
  </si>
  <si>
    <t>T06-01 başarılı.</t>
  </si>
  <si>
    <t>1. Kameraya kırmızı nesne göster.
2. frame.shape → (540, 960, 3) doğrula.
3. frame[270,480] BGR değeri oku.
4. Kırmızı nesne: B≈0, G≈0, R≈200+
5. Yeşil nesne: B≈0, G≈200+, R≈0</t>
  </si>
  <si>
    <t>frame.shape=(540,960,3). Renk değerleri nesneyle uyumlu.</t>
  </si>
  <si>
    <t>frame.shape=(540,960,3). Renk doğru.</t>
  </si>
  <si>
    <t>T06-04</t>
  </si>
  <si>
    <t>FR-15
SW-13</t>
  </si>
  <si>
    <t>Engellemesiz Soket – İş Parçacığı Testi</t>
  </si>
  <si>
    <t>Her iki kamera aktif; Python çalışıyor.</t>
  </si>
  <si>
    <t>1. Alıcı iş parçacığı ve görüntüleme iş parçacığının ayrı çalıştığını doğrula.
2. 60 sn boyunca soket hata mesajı olmadığını doğrula.</t>
  </si>
  <si>
    <t>60 sn boyunca soket hatası yok. İki iş parçacığı bağımsız.</t>
  </si>
  <si>
    <t>60 sn: soket hatası = 0.</t>
  </si>
  <si>
    <t>T06-05</t>
  </si>
  <si>
    <t>SW-19
SW-20</t>
  </si>
  <si>
    <t>PNG Kaydetme &amp; Düzgün Kapatma</t>
  </si>
  <si>
    <t>Python alıcı çalışıyor.</t>
  </si>
  <si>
    <t>1. receiver.py --save bayrağıyla çalıştır.
2. 10 sn bekle; PNG dosyalarını doğrula.
3. ISO 8601 zaman damgası doğrula.
4. Ctrl+C ile kapat.
5. netstat ile soket sızıntısı olmadığını doğrula.</t>
  </si>
  <si>
    <t>PNG dosyaları oluştu. Ctrl+C ile temiz kapanış. Soket kapalı.</t>
  </si>
  <si>
    <t>PNG var. exit code 0. netstat: port kapalı.</t>
  </si>
  <si>
    <t>T07 – GÖRÜNTÜ GÖSTERİMİ TESTİ</t>
  </si>
  <si>
    <t>T07-01</t>
  </si>
  <si>
    <t>FR-18
IR-11</t>
  </si>
  <si>
    <t>Çift Kamera Canlı Görüntüleme FPS Testi</t>
  </si>
  <si>
    <t>Her iki kamera aktif; Python alıcı çalışıyor.</t>
  </si>
  <si>
    <t>1. 'Kamera A' ve 'Kamera B' OpenCV pencereleri açılıyor mu doğrula.
2. Her pencereye FPS overlay ekle (cv2.putText).
3. 60 sn boyunca FPS değerini gözlemle.
4. Her iki kamera ≥15 fps doğrula.</t>
  </si>
  <si>
    <t>İki pencere açılır. Her biri 960×540 çözünürlükte ≥15 fps güncellenir.</t>
  </si>
  <si>
    <t>Her iki pencere ≥15 fps, 60 sn boyunca.</t>
  </si>
  <si>
    <t>T07-02</t>
  </si>
  <si>
    <t>960×540 Çözünürlük Doğrulama</t>
  </si>
  <si>
    <t>1. Python'da frame.shape değerini yazdır.
2. (540, 960, 3) olduğunu doğrula.
3. Görüntü kenarlarında siyah bant olmadığını kontrol et.</t>
  </si>
  <si>
    <t>frame.shape = (540, 960, 3). Siyah bant yok.</t>
  </si>
  <si>
    <t>frame.shape == (540, 960, 3). ROI doğru.</t>
  </si>
  <si>
    <t>T07-03</t>
  </si>
  <si>
    <t>IR-11
SW-13</t>
  </si>
  <si>
    <t>Dört OpenCV Penceresi Doğrulama</t>
  </si>
  <si>
    <t>Stereo pipeline aktif.</t>
  </si>
  <si>
    <t>1. 'Kamera A', 'Kamera B', 'Derinlik Haritası', 'Panorama' pencerelerini doğrula.
2. Her pencerenin bağımsız güncellendiğini doğrula.
3. cv2.waitKey(1) ile sürekli güncelleme doğrula.</t>
  </si>
  <si>
    <t>4 bağımsız pencere açılır ve güncellenir.</t>
  </si>
  <si>
    <t>4 pencere bağımsız güncelleniyor. Görsel doğrulama.</t>
  </si>
  <si>
    <t>T08 – DISTORSİYON DÜZELTMESİ (UNDİSTORTION) TESTİ</t>
  </si>
  <si>
    <t>T08-01</t>
  </si>
  <si>
    <t>FR-19
SW-21
IR-13</t>
  </si>
  <si>
    <t>Tekil Lens Distorsiyon Düzeltmesi</t>
  </si>
  <si>
    <t>camera_a_calib.yaml ve camera_b_calib.yaml mevcut.</t>
  </si>
  <si>
    <t>1. Kamerayı düz satranç tahtasına yönelt.
2. cv2.undistort() uygulanmış/uygulanmamış görüntüleri yan yana göster.
3. Kenarlardaki çizgilerin düzleştiğini doğrula.
4. YAML yüklemesinin hata vermediğini doğrula.</t>
  </si>
  <si>
    <t>Distorsiyon düzeltmesi sonrası satranç tahtası çizgileri düzgün.</t>
  </si>
  <si>
    <t>Satranç tahtası çizgileri düzgün. YAML yükleme başarılı.</t>
  </si>
  <si>
    <t>T08-02</t>
  </si>
  <si>
    <t>IR-13
SW-21</t>
  </si>
  <si>
    <t>Kalibrasyon YAML Dosyası Doğrulama</t>
  </si>
  <si>
    <t>stereo_calibrate.py çalıştırıldı.</t>
  </si>
  <si>
    <t>1. stereo_calib.yaml dosyasının oluştuğunu doğrula.
2. R, T, E, F matrislerinin var olduğunu kontrol et.
3. PyYAML ile yükleme başarılı olduğunu doğrula.
4. camera_a/b_calib.yaml dosyalarını da doğrula.</t>
  </si>
  <si>
    <t>Tüm YAML dosyaları mevcut. PyYAML yükleme başarılı.</t>
  </si>
  <si>
    <t>YAML dosyaları var. PyYAML yükleme hatasız.</t>
  </si>
  <si>
    <t>T08-03</t>
  </si>
  <si>
    <t>FR-19
IR-13</t>
  </si>
  <si>
    <t>K Matrisi ve D Katsayısı Doğrulama</t>
  </si>
  <si>
    <t>camera_a_calib.yaml mevcut.</t>
  </si>
  <si>
    <t>1. YAML'dan K matrisini (3×3) ve D katsayılarını (1×5) yükle.
2. K matrisinde fx, fy, cx, cy değerlerinin mantıklı olduğunu doğrula (fx,fy &gt; 0; cx≈480, cy≈270).
3. cv2.undistort() çağrısının hata vermediğini doğrula.</t>
  </si>
  <si>
    <t>K matrisi ve D katsayıları doğru yükleniyor. undistort() çalışıyor.</t>
  </si>
  <si>
    <t>K: 3×3, D: 1×5. undistort() hata yok.</t>
  </si>
  <si>
    <t>T09 – STEREO KALİBRASYON TESTİ</t>
  </si>
  <si>
    <t>T09-01</t>
  </si>
  <si>
    <t>FR-20
SW-21
IR-13</t>
  </si>
  <si>
    <t>stereo_calibrate.py Çalıştırma &amp; RMS Doğrulama</t>
  </si>
  <si>
    <t>3D baskı aparat takılı; 20+ satranç tahtası görüntü çifti hazır.</t>
  </si>
  <si>
    <t>1. stereo_calibrate.py çalıştır.
2. cv2.stereoCalibrate() çalışıyor mu doğrula.
3. RMS reproj. hatasını konsola yazdır.
4. RMS ≤1.0 piksel doğrula.
5. stereo_calib.yaml oluştuğunu doğrula.</t>
  </si>
  <si>
    <t>RMS ≤1.0 piksel. stereo_calib.yaml oluştu.</t>
  </si>
  <si>
    <t>RMS ≤1.0 px. stereo_calib.yaml var.</t>
  </si>
  <si>
    <t>T09-02</t>
  </si>
  <si>
    <t>FR-20
SW-21</t>
  </si>
  <si>
    <t>R, T, E, F Matris Çıktısı Doğrulama</t>
  </si>
  <si>
    <t>T09-01 başarılı.</t>
  </si>
  <si>
    <t>1. stereo_calib.yaml'ı oku.
2. R (3×3), T (3×1), E (3×3), F (3×3) matrislerinin var olduğunu doğrula.
3. T vektörünün x bileşeninin ≈ 60-70 mm olduğunu kontrol et (baseline).</t>
  </si>
  <si>
    <t>R, T, E, F matrisleri mevcut. T_x ≈ 60-70 mm.</t>
  </si>
  <si>
    <t>Tüm matrisler var. T_x ≈ baseline değeri.</t>
  </si>
  <si>
    <t>T09-03</t>
  </si>
  <si>
    <t>20+ Görüntü Çifti Kalite Kontrolü</t>
  </si>
  <si>
    <t>stereo_calibrate.py mevcut.</t>
  </si>
  <si>
    <t>1. 20+ farklı açıdan satranç tahtası görüntü çifti çek.
2. Her çiftin her iki kamerada net göründüğünü doğrula.
3. findChessboardCorners başarı oranını kaydet.
4. ≥20 geçerli çift kullanıldığını doğrula.</t>
  </si>
  <si>
    <t>≥20 geçerli görüntü çifti. Köşe tespiti başarılı.</t>
  </si>
  <si>
    <t>≥20 geçerli çift. Köşe tespiti hata yok.</t>
  </si>
  <si>
    <t>T09-04</t>
  </si>
  <si>
    <t>Kalibrasyon Tekrarlanabilirlik Testi</t>
  </si>
  <si>
    <t>1. Aynı görüntü seti ile stereo_calibrate.py'yi iki kez çalıştır.
2. RMS1 ve RMS2 değerlerini kaydet.
3. |RMS1 - RMS2| ≤ 0.1 px doğrula.</t>
  </si>
  <si>
    <t>İki çalışma arası RMS farkı ≤0.1 px.</t>
  </si>
  <si>
    <t>|RMS1 - RMS2| ≤ 0.1 px.</t>
  </si>
  <si>
    <t>T10 – STEREO REKTİFİKASYON TESTİ</t>
  </si>
  <si>
    <t>T10-01</t>
  </si>
  <si>
    <t>FR-21
SW-21
IR-13</t>
  </si>
  <si>
    <t>stereoRectify + remap() Uygulaması</t>
  </si>
  <si>
    <t>T09-01 başarılı; stereo_calib.yaml mevcut.</t>
  </si>
  <si>
    <t>1. stereo_calib.yaml yükle.
2. cv2.stereoRectify() çalıştır.
3. cv2.initUndistortRectifyMap() + cv2.remap() uygula.
4. Sol ve sağ rektifiye görüntüleri yan yana göster.
5. Yatay epipolar çizgiler çiz ve hizalamayı gözlemle.</t>
  </si>
  <si>
    <t>Sol ve sağ görüntüde eşleşen noktalar aynı yatay satırda.</t>
  </si>
  <si>
    <t>Epipolar çizgiler hizalı. Rektifikasyon görsel doğrulandı.</t>
  </si>
  <si>
    <t>T10-02</t>
  </si>
  <si>
    <t>FR-21</t>
  </si>
  <si>
    <t>Epipolar Sapma Ölçümü (≤2 Piksel)</t>
  </si>
  <si>
    <t>T10-01 başarılı.</t>
  </si>
  <si>
    <t>1. Rektifiye sol ve sağ görüntüde aynı 3D noktayı seç.
2. Sol ve sağ resimdeki satır numaralarını karşılaştır.
3. Satır farkını ölç.
4. ≤2 piksel olduğunu doğrula.</t>
  </si>
  <si>
    <t>Epipolar sapma ≤2 piksel.</t>
  </si>
  <si>
    <t>Satır sapması ≤2 px.</t>
  </si>
  <si>
    <t>T10-03</t>
  </si>
  <si>
    <t>Rektifikasyon Haritası YAML'dan Yükleme</t>
  </si>
  <si>
    <t>stereo_calib.yaml mevcut.</t>
  </si>
  <si>
    <t>1. stereo_calib.yaml'dan rektifikasyon haritalarını yükle.
2. cv2.remap() ile haritaların uygulandığını doğrula.
3. Görüntüde aşırı kırpılma veya siyah bant olmadığını kontrol et.</t>
  </si>
  <si>
    <t>Rektifikasyon haritaları YAML'dan başarıyla yükleniyor.</t>
  </si>
  <si>
    <t>YAML yükleme hatasız. remap() çalışıyor.</t>
  </si>
  <si>
    <t>T11 – DİSPARİTY &amp; DERİNLİK HARİTASI TESTİ</t>
  </si>
  <si>
    <t>T11-01</t>
  </si>
  <si>
    <t>FR-22
SW-22</t>
  </si>
  <si>
    <t>StereoBM Disparity Haritası Hesaplama</t>
  </si>
  <si>
    <t>T10-01 başarılı; rektifiye görüntü çifti mevcut.</t>
  </si>
  <si>
    <t>1. cv2.StereoBM_create(numDisparities=64, blockSize=15) oluştur.
2. Rektifiye sol ve sağ kareye uygula.
3. Disparity haritasını COLORMAP_JET ile görselleştir.
4. 'Derinlik Haritası' penceresinde göster.</t>
  </si>
  <si>
    <t>Disparity haritası görsel olarak anlamlı. Yakın nesneler parlak, uzak nesneler koyu.</t>
  </si>
  <si>
    <t>Disparity haritası COLORMAP_JET ile gösterildi.</t>
  </si>
  <si>
    <t>T11-02</t>
  </si>
  <si>
    <t>StereoSGBM Disparity – BM ile Karşılaştırma</t>
  </si>
  <si>
    <t>T11-01 başarılı.</t>
  </si>
  <si>
    <t>1. cv2.StereoSGBM_create() ile disparity hesapla.
2. StereoBM sonucuyla yan yana karşılaştır.
3. SGBM'in daha az gürültülü olduğunu doğrula.
4. config.yaml ile algoritma seçiminin çalıştığını doğrula.</t>
  </si>
  <si>
    <t>SGBM disparity haritası BM'ye göre daha kaliteli.</t>
  </si>
  <si>
    <t>SGBM ve BM görsel karşılaştırma tamamlandı.</t>
  </si>
  <si>
    <t>T11-03</t>
  </si>
  <si>
    <t>reprojectImageTo3D – Mesafe Doğrulama</t>
  </si>
  <si>
    <t>T11-01 başarılı; stereo_calib.yaml Q matrisi mevcut.</t>
  </si>
  <si>
    <t>1. Kameradan bilinen mesafede (30, 50, 100 cm) düz yüzey göster.
2. cv2.reprojectImageTo3D(disparity, Q) çalıştır.
3. Yüzey merkezine karşılık gelen Z değerini oku.
4. Hata: |Z_ölçülen - Z_gerçek| / Z_gerçek × 100.</t>
  </si>
  <si>
    <t>30, 50, 100 cm mesafelerde ölçüm hatası ≤%10.</t>
  </si>
  <si>
    <t>≤%10 hata, 3 mesafe için.</t>
  </si>
  <si>
    <t>T11-04</t>
  </si>
  <si>
    <t>FR-23
SW-22
IR-11</t>
  </si>
  <si>
    <t>Derinlik Haritası FPS Testi (≥5 fps)</t>
  </si>
  <si>
    <t>1. 'Derinlik Haritası' penceresinde FPS overlay aç.
2. 30 sn FPS değerini kaydet.
3. ≥5 fps doğrula.</t>
  </si>
  <si>
    <t>Derinlik haritası penceresi ≥5 fps güncelleniyor.</t>
  </si>
  <si>
    <t>≥5 fps, 30 sn boyunca.</t>
  </si>
  <si>
    <t>T12 – PANORAMA GÖSTERİMİ TESTİ</t>
  </si>
  <si>
    <t>T12-01</t>
  </si>
  <si>
    <t>FR-24
IR-11</t>
  </si>
  <si>
    <t>ORB Özellik Eşleştirme</t>
  </si>
  <si>
    <t>Her iki kamera ≥%30 FOV örtüşmesiyle monte edilmiş.</t>
  </si>
  <si>
    <t>1. ORB dedektörü ile anahtar noktalar hesapla.
2. BFMatcher + Lowe oran testi (0.75) uygula.
3. İyi eşleşme sayısını kaydet.
4. cv2.drawMatches() ile görselleştir.</t>
  </si>
  <si>
    <t>≥50 iyi eşleşme. Eşleşmeler görsel olarak tutarlı.</t>
  </si>
  <si>
    <t>≥50 iyi eşleşme.</t>
  </si>
  <si>
    <t>T12-02</t>
  </si>
  <si>
    <t>Homografi &amp; Perspektif Dönüşümü</t>
  </si>
  <si>
    <t>T12-01 başarılı (≥50 eşleşme).</t>
  </si>
  <si>
    <t>1. cv2.findHomography(pts_b, pts_a, cv2.RANSAC) çağır.
2. np.linalg.det(H) ≠ 0 doğrula.
3. cv2.warpPerspective() ile Kamera B'yi Kamera A tuvaline dönüştür.
4. Dikiş hattında görsel kontrol yap.</t>
  </si>
  <si>
    <t>det(H) ≠ 0. Dönüştürülmüş görüntü Kamera A ile örtüşüyor.</t>
  </si>
  <si>
    <t>det(H) ≠ 0. Dikiş hattı görsel doğrulandı.</t>
  </si>
  <si>
    <t>T12-03</t>
  </si>
  <si>
    <t>Panorama FPS Testi (≥5 fps)</t>
  </si>
  <si>
    <t>T12-02 başarılı.</t>
  </si>
  <si>
    <t>1. Tam panorama pipeline çalıştır.
2. 'Panorama' penceresinde FPS overlay aç.
3. 30 sn FPS değerini kaydet.
4. Ghosting artefaktı gözlemle.</t>
  </si>
  <si>
    <t>Panorama penceresi ≥5 fps. Ghosting yok.</t>
  </si>
  <si>
    <t>≥5 fps, 30 sn. Ghosting yok.</t>
  </si>
  <si>
    <t>T13 – UART LOGLAMA &amp; DEBUG TESTİ</t>
  </si>
  <si>
    <t>T13-01</t>
  </si>
  <si>
    <t>FR-25
IR-08</t>
  </si>
  <si>
    <t>UART Baud Hızı ve Format Doğrulama</t>
  </si>
  <si>
    <t>Termite 115200-8-N-1 ayarında açık.</t>
  </si>
  <si>
    <t>1. Termite'i 115200 baud aç.
2. Vitis Run.
3. Format doğrula: [SEVİYE][MODÜL][MESAJ]
   Örn: [INFO][KAMERA]Kamera A OK
4. 57600 baud negatif test: bozuk karakter doğrula.</t>
  </si>
  <si>
    <t>115200 baud: okunabilir log. 57600 baud: bozuk karakterler.</t>
  </si>
  <si>
    <t>115200 baud: tüm loglar okunabilir. Format doğru.</t>
  </si>
  <si>
    <t>T13-02</t>
  </si>
  <si>
    <t>FR-26
SW-08</t>
  </si>
  <si>
    <t>UDP Kare Gönderim Zaman Damgası Loglama</t>
  </si>
  <si>
    <t>Sistem çalışıyor; UART terminal açık.</t>
  </si>
  <si>
    <t>1. UART'ta kare gönderim loglarını izle.
2. Her satırda: Kare ID, Kamera ID, Paket sayısı, Gönderim süresi (ms) doğrula.
3. 20 kare için süre kaydet.
4. Wireshark ile UART Kare ID'lerini karşılaştır.</t>
  </si>
  <si>
    <t>Her kare için UART logu. UART Kare ID = Wireshark Kare ID.</t>
  </si>
  <si>
    <t>UART Kare ID ↔ Wireshark Kare ID eşleşiyor.</t>
  </si>
  <si>
    <t>T13-03</t>
  </si>
  <si>
    <t>FR-25
SW-16</t>
  </si>
  <si>
    <t>Log Seviye Filtreleme (DEBUG/INFO/WARN/ERROR)</t>
  </si>
  <si>
    <t>verbose.c log seviyesi değiştirilebilir.</t>
  </si>
  <si>
    <t>1. Log seviyesini DEBUG yap; tüm seviyelerin göründüğünü doğrula.
2. WARN yap; yalnızca WARN ve ERROR görünüyor mu doğrula.
3. INFO ve DEBUG mesajlarının filtrelendiğini doğrula.</t>
  </si>
  <si>
    <t>Her seviye için doğru filtreleme davranışı.</t>
  </si>
  <si>
    <t>DEBUG: tüm seviyeler. WARN: yalnızca WARN+ERROR.</t>
  </si>
  <si>
    <t>T14 – HATA YÖNETİMİ &amp; KURTARMA TESTİ</t>
  </si>
  <si>
    <t>T14-01</t>
  </si>
  <si>
    <t>I2C Hata Toleransı – Tek Kamera Çıkarılması</t>
  </si>
  <si>
    <t>Her iki kamera takılı; sistem çalışıyor.</t>
  </si>
  <si>
    <t>1. Kamera B'yi çıkar.
2. UART'ta hata mesajı + ×3 yeniden deneme loglarını gözlemle.
3. 'sistem kalan kamerayla çalışıyor' logu doğrula.
4. PC'de Kamera A penceresinin aktif kaldığını doğrula.</t>
  </si>
  <si>
    <t>×3 yeniden deneme UART'ta görünür. Sistem devam eder.</t>
  </si>
  <si>
    <t>T14-02</t>
  </si>
  <si>
    <t>FR-28
SW-12</t>
  </si>
  <si>
    <t>Watchdog Kurtarma Testi</t>
  </si>
  <si>
    <t>XWdtPs watchdog kodda etkin.</t>
  </si>
  <si>
    <t>1. main() döngüsünde watchdog besleme satırını yorum satırına al.
2. Vitis Run.
3. ≤1.5 sn içinde sistem sıfırlama mesajı bekle.
4. Kodu geri yükle; normal çalışmada sıfırlama olmadığını doğrula.</t>
  </si>
  <si>
    <t>Watchdog beslemesi olmadan ≤1.5 sn sıfırlama.</t>
  </si>
  <si>
    <t>≤1.5 sn sıfırlama. Normal çalışmada sıfırlama yok.</t>
  </si>
  <si>
    <t>T14-03</t>
  </si>
  <si>
    <t>FR-29
SW-12</t>
  </si>
  <si>
    <t>Ethernet Bağlantı Kesme &amp; Kurtarma</t>
  </si>
  <si>
    <t>Sistem çalışıyor; UDP gönderiliyor.</t>
  </si>
  <si>
    <t>1. Ethernet kablosunu ZedBoard'dan çek.
2. UART'ta TX döngüsü durdu logu bekle.
3. 5 sn bekle; kabloyu tak.
4. UART'ta TX devam ediyor logu bekle.
5. Wireshark'ta UDP akışının devam ettiğini doğrula.</t>
  </si>
  <si>
    <t>Kablo çekince TX durur. Kablo takınca otomatik devam.</t>
  </si>
  <si>
    <t>TX durdurma + kurtarma logu. Wireshark akış devamı.</t>
  </si>
  <si>
    <t>T14-04</t>
  </si>
  <si>
    <t>FR-30
SW-13</t>
  </si>
  <si>
    <t>Python İstisna Yönetimi – Bozuk Paket</t>
  </si>
  <si>
    <t>1. Bozuk UDP paketi gönder:
   import socket; s=socket.socket(socket.AF_INET,socket.SOCK_DGRAM)
   s.sendto(b'\xFF'*20, ('127.0.0.1',7000))
2. try/except bloklarının devreye girdiğini doğrula.
3. Alıcı çökmedi mi, hata logladı mı doğrula.
4. Sonraki geçerli paketler normal alınıyor mu doğrula.</t>
  </si>
  <si>
    <t>Bozuk paket: except devreye girer. Alıcı devam eder.</t>
  </si>
  <si>
    <t>Hata logu. Alıcı çalışmaya devam eder.</t>
  </si>
  <si>
    <t>T15 – DONANIM &amp; ARAYÜZ DOĞRULAMA TESTİ</t>
  </si>
  <si>
    <t>T15-01</t>
  </si>
  <si>
    <t>HW-03
HW-14–HW-31</t>
  </si>
  <si>
    <t>FPGA Kaynak Kullanımı &amp; Zamanlama</t>
  </si>
  <si>
    <t>Vivado implementation tamamlandı.</t>
  </si>
  <si>
    <t>1. Vivado → Implementation → Report Utilization.
2. LUT, FF, BRAM, DSP ≤%80 doğrula.
3. Report Timing Summary → WNS ≥0 ns doğrula.
4. TNS = 0 ns doğrula.</t>
  </si>
  <si>
    <t>LUT/FF/BRAM/DSP ≤%80. WNS ≥0 ns. TNS=0.</t>
  </si>
  <si>
    <t>Utilization ≤%80. WNS ≥0 ns. TNS=0.</t>
  </si>
  <si>
    <t>T15-02</t>
  </si>
  <si>
    <t>HW-14
HW-15</t>
  </si>
  <si>
    <t>Saat Frekansları Doğrulama (150/50 MHz)</t>
  </si>
  <si>
    <t>Vivado Clocking Wizard konfigürasyonu tamamlandı.</t>
  </si>
  <si>
    <t>1. Clocking Wizard çıkış frekanslarını kontrol et:
   - 150 MHz (video işleme hattı)
   - 50 MHz (AXI kontrol)
2. Report Clock Interaction → CDC kısıtlamaları doğrula.</t>
  </si>
  <si>
    <t>150 MHz ve 50 MHz çıkışlar doğru. CDC kısıtlamaları karşılandı.</t>
  </si>
  <si>
    <t>Saat frekansları doğru. CDC OK.</t>
  </si>
  <si>
    <t>T15-03</t>
  </si>
  <si>
    <t>HW-07
HW-12
IR-07</t>
  </si>
  <si>
    <t>Ethernet Fiziksel Bağlantı &amp; Ping Testi</t>
  </si>
  <si>
    <t>Cat5e/Cat6 kablo bağlı; PC statik IP 192.168.1.100.</t>
  </si>
  <si>
    <t>1. ping 192.168.1.50 -n 20
2. 20/20 yanıt geldiğini doğrula.
3. Ortalama RTT ≤10 ms kaydet.
4. Paket kaybı %0 doğrula.</t>
  </si>
  <si>
    <t>20/20 ping. Ort RTT ≤10 ms. %0 kayıp.</t>
  </si>
  <si>
    <t>20/20 ping. RTT ≤10 ms. %0 kayıp.</t>
  </si>
  <si>
    <t>T15-04</t>
  </si>
  <si>
    <t>HW-04
IR-04</t>
  </si>
  <si>
    <t>DDR3 Bellek Haritası &amp; Sınır Kontrolü</t>
  </si>
  <si>
    <t>1. frame_baseaddr = 0x0A000000 doğrula.
2. VDMA tampon bölgelerinin kod/veri ile çakışmadığını doğrula.
3. Toplam DDR3 kullanımı ≤100 MB doğrula.</t>
  </si>
  <si>
    <t>Tampon bölgesi çakışma yok. DDR3 ≤100 MB.</t>
  </si>
  <si>
    <t>Çakışma yok. DDR3 ≤100 MB.</t>
  </si>
  <si>
    <t>T15-05</t>
  </si>
  <si>
    <t>HW-09
IR-15</t>
  </si>
  <si>
    <t>Güç Tüketimi &amp; Termal Test</t>
  </si>
  <si>
    <t>Sistem tam yük altında (her iki kamera + Ethernet aktif).</t>
  </si>
  <si>
    <t>1. 12V güç kaynağı akımını multimetreyle ölç.
2. Güç (W) = 12V × akım.
3. ≤60 W doğrula.
4. 30 dk çalıştır; FPGA yüzeyinde termal kontrol yap.</t>
  </si>
  <si>
    <t>Güç ≤60 W. 30 dk termal stres: normal.</t>
  </si>
  <si>
    <t>≤60 W. 30 dk termal: aşırı ısınma yok.</t>
  </si>
  <si>
    <t>T16 – STEREO KAMERA APARAT &amp; BASELINE TESTİ</t>
  </si>
  <si>
    <t>T16-01</t>
  </si>
  <si>
    <t>HW-10
G-14</t>
  </si>
  <si>
    <t>Baseline Mesafe Ölçümü (60–70 mm)</t>
  </si>
  <si>
    <t>3D baskı aparat tamamlandı; kameralar takılı.</t>
  </si>
  <si>
    <t>1. Kumpas ile sol ve sağ kamera optik merkezi arası yatay mesafeyi ölç.
2. Ölçümü 3 farklı noktadan al; ortalama hesapla.
3. Ortalama 60–70 mm aralığında olduğunu doğrula.</t>
  </si>
  <si>
    <t>Baseline ortalaması 60–70 mm.</t>
  </si>
  <si>
    <t>Ortalama baseline 60–70 mm arası.</t>
  </si>
  <si>
    <t>T16-02</t>
  </si>
  <si>
    <t>Paralel Eksen Doğrulama (≤1°)</t>
  </si>
  <si>
    <t>T16-01 tamamlandı.</t>
  </si>
  <si>
    <t>1. Kameralara 2 m uzaktan aynı dikey çizgiyi hedefle.
2. Sol ve sağ görüntüde çizginin piksel X konumunu ölç.
3. Açısal sapmanın ≤1° olduğunu doğrula.</t>
  </si>
  <si>
    <t>Her iki kamerada dikey çizgi aynı X'te. Açısal sapma ≤1°.</t>
  </si>
  <si>
    <t>Açısal sapma ≤1°.</t>
  </si>
  <si>
    <t>T16-03</t>
  </si>
  <si>
    <t>Titreşim Stabilite Testi</t>
  </si>
  <si>
    <t>T09-01 kalibrasyon tamamlandı; RMS0 kaydedildi.</t>
  </si>
  <si>
    <t>1. Başlangıç RMS değerini kaydet (R0).
2. Aparata 10 sn hafif titreşim uygula.
3. Aynı görüntü seti ile kalibrasyonu tekrar çalıştır.
4. |R1 - R0| ≤0.1 px doğrula.</t>
  </si>
  <si>
    <t>Titreşim sonrası RMS değişimi ≤0.1 px. Aparat rijit.</t>
  </si>
  <si>
    <t>|R1 - R0| ≤ 0.1 px.</t>
  </si>
  <si>
    <t>T17 – PERFORMANS &amp; VERİM TESTİ</t>
  </si>
  <si>
    <t>T17-01</t>
  </si>
  <si>
    <t>FR-18
FR-23
FR-24</t>
  </si>
  <si>
    <t>Çift Kamera + Derinlik + Panorama Eş Zamanlı FPS</t>
  </si>
  <si>
    <t>Tüm pipeline aktif.</t>
  </si>
  <si>
    <t>1. Kamera A, Kamera B, Derinlik Haritası, Panorama pencerelerini aç.
2. Her pencere için FPS overlay aktif et.
3. 60 sn değerleri kaydet:
   - Kamera A/B: hedef ≥15 fps
   - Derinlik/Panorama: hedef ≥5 fps
4. CPU kullanımını gözlemle (Task Manager).</t>
  </si>
  <si>
    <t>Kamera A/B ≥15 fps. Derinlik/Panorama ≥5 fps. CPU ≤90%.</t>
  </si>
  <si>
    <t>Kamera A/B ≥15 fps. Derinlik/Panorama ≥5 fps. 60 sn.</t>
  </si>
  <si>
    <t>T17-02</t>
  </si>
  <si>
    <t>SW-10
IR-07</t>
  </si>
  <si>
    <t>UDP Yük Boyutu Verim Tablosu</t>
  </si>
  <si>
    <t>T05-03 test kayıtları mevcut.</t>
  </si>
  <si>
    <t>Tabloyu test sonuçlarıyla doldur:
Yük | Verim (Mbps)
64B | __
128B | __
512B | __
1024B | __
1400B | __
Wireshark Statistics → IO Graph ile ölç.</t>
  </si>
  <si>
    <t>1400B en yüksek verim. Monoton artış gözlemlendi.</t>
  </si>
  <si>
    <t>Verim tablosu tamamlandı. Monoton artış.</t>
  </si>
  <si>
    <t>T17-03</t>
  </si>
  <si>
    <t>SW-11</t>
  </si>
  <si>
    <t>FPS Sınırlayıcı Doğrulama</t>
  </si>
  <si>
    <t>Yazılım FPS sınırlayıcısı aktif.</t>
  </si>
  <si>
    <t>1. FPS sınırlayıcısını 10 fps ayarla.
2. Vitis Run.
3. Wireshark'ta ≈10 kare/sn doğrula.
4. Sınırlayıcıyı devre dışı bırak; hız artışını gözlemle.
5. Ethernet taşması olmadığını doğrula.</t>
  </si>
  <si>
    <t>10 fps ayarında ≈10 kare/sn Wireshark'ta görülür.</t>
  </si>
  <si>
    <t>FPS sınırlayıcı çalışıyor. Ethernet taşması yok.</t>
  </si>
  <si>
    <t>T17-04</t>
  </si>
  <si>
    <t>FR-31</t>
  </si>
  <si>
    <t>Genişleyebilir Mimari – Parametre Tabanlı Yapılandırma</t>
  </si>
  <si>
    <t>Vivado block design incelenebilir durumda.</t>
  </si>
  <si>
    <t>1. FPGA block design parametrelerini incele.
2. 4. kamera ekleme için gerekli değişikliklerin yalnızca MIPI CSI-2 RX + VDMA olduğunu doğrula.
3. Çekirdek tasarımın değişmediğini doğrula.
4. Mimari gözden geçirme notu yaz.</t>
  </si>
  <si>
    <t>Mimari 4 kameraya genişletilebilir. Çekirdek tasarım değişmez.</t>
  </si>
  <si>
    <t>Mimari inceleme tamamlandı. Genişleme mümkün.</t>
  </si>
  <si>
    <t>SRS_Stereo</t>
  </si>
  <si>
    <t>PC UDP</t>
  </si>
  <si>
    <t xml:space="preserve">FR-01
SW-01
SW-02
</t>
  </si>
  <si>
    <t>1. pip install -r requirements.txt (pojede kullanılan tüm Python kütüphanelerini otomatik kurar)
2. receiver.py çalıştır.
3. Soketin port 7000'e bağlandığını doğrula.
4. SO_RCVBUF = 16 MB doğrula.
5. ZedBoard'dan ilk paket geldiğinde konsol logu doğrula.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</si>
</sst>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opLeftCell="A16" workbookViewId="0">
      <selection activeCell="H23" sqref="H23"/>
    </sheetView>
  </sheetViews>
  <sheetFormatPr defaultRowHeight="14.4" x14ac:dyDescent="0.3"/>
  <cols>
    <col min="1" max="1" width="48" customWidth="1"/>
    <col min="2" max="2" width="13" customWidth="1"/>
    <col min="3" max="3" width="48" customWidth="1"/>
    <col min="4" max="4" width="13" customWidth="1"/>
  </cols>
  <sheetData>
    <row r="1" spans="1:8" ht="34.950000000000003" customHeight="1" x14ac:dyDescent="0.3">
      <c r="A1" s="12" t="s">
        <v>0</v>
      </c>
      <c r="B1" s="10"/>
      <c r="C1" s="10"/>
      <c r="D1" s="10"/>
      <c r="E1" s="10"/>
      <c r="F1" s="10"/>
      <c r="G1" s="10"/>
      <c r="H1" s="10"/>
    </row>
    <row r="2" spans="1:8" ht="22.05" customHeight="1" x14ac:dyDescent="0.3">
      <c r="A2" s="11" t="s">
        <v>1</v>
      </c>
      <c r="B2" s="10"/>
      <c r="C2" s="10"/>
      <c r="D2" s="10"/>
      <c r="E2" s="10"/>
      <c r="F2" s="10"/>
      <c r="G2" s="10"/>
      <c r="H2" s="10"/>
    </row>
    <row r="4" spans="1:8" ht="52.8" x14ac:dyDescent="0.3">
      <c r="A4" s="1" t="s">
        <v>2</v>
      </c>
      <c r="B4" s="2" t="s">
        <v>3</v>
      </c>
      <c r="C4" s="1" t="s">
        <v>4</v>
      </c>
      <c r="D4" s="2" t="s">
        <v>5</v>
      </c>
    </row>
    <row r="5" spans="1:8" ht="26.4" x14ac:dyDescent="0.3">
      <c r="A5" s="1" t="s">
        <v>6</v>
      </c>
      <c r="B5" s="2" t="s">
        <v>7</v>
      </c>
      <c r="C5" s="1" t="s">
        <v>8</v>
      </c>
      <c r="D5" s="2" t="s">
        <v>9</v>
      </c>
    </row>
    <row r="6" spans="1:8" ht="52.8" x14ac:dyDescent="0.3">
      <c r="A6" s="1" t="s">
        <v>10</v>
      </c>
      <c r="B6" s="2" t="s">
        <v>11</v>
      </c>
      <c r="C6" s="1" t="s">
        <v>12</v>
      </c>
      <c r="D6" s="2" t="s">
        <v>541</v>
      </c>
    </row>
    <row r="7" spans="1:8" ht="39.6" x14ac:dyDescent="0.3">
      <c r="A7" s="1" t="s">
        <v>15</v>
      </c>
      <c r="B7" s="2" t="s">
        <v>16</v>
      </c>
      <c r="C7" s="1" t="s">
        <v>17</v>
      </c>
      <c r="D7" s="2" t="s">
        <v>18</v>
      </c>
    </row>
    <row r="8" spans="1:8" ht="39.6" x14ac:dyDescent="0.3">
      <c r="A8" s="1" t="s">
        <v>19</v>
      </c>
      <c r="B8" s="2" t="s">
        <v>20</v>
      </c>
      <c r="C8" s="1" t="s">
        <v>21</v>
      </c>
      <c r="D8" s="2" t="s">
        <v>22</v>
      </c>
    </row>
    <row r="9" spans="1:8" ht="26.4" x14ac:dyDescent="0.3">
      <c r="A9" s="1" t="s">
        <v>23</v>
      </c>
      <c r="B9" s="2" t="s">
        <v>24</v>
      </c>
      <c r="C9" s="1" t="s">
        <v>542</v>
      </c>
      <c r="D9" s="2" t="s">
        <v>25</v>
      </c>
    </row>
    <row r="10" spans="1:8" ht="39.6" x14ac:dyDescent="0.3">
      <c r="A10" s="1" t="s">
        <v>13</v>
      </c>
      <c r="B10" s="2" t="s">
        <v>14</v>
      </c>
      <c r="C10" s="1" t="s">
        <v>26</v>
      </c>
      <c r="D10" s="2" t="s">
        <v>27</v>
      </c>
    </row>
    <row r="12" spans="1:8" ht="22.05" customHeight="1" x14ac:dyDescent="0.3">
      <c r="A12" s="11" t="s">
        <v>28</v>
      </c>
      <c r="B12" s="10"/>
      <c r="C12" s="10"/>
      <c r="D12" s="10"/>
      <c r="E12" s="10"/>
      <c r="F12" s="10"/>
      <c r="G12" s="10"/>
      <c r="H12" s="10"/>
    </row>
    <row r="13" spans="1:8" x14ac:dyDescent="0.3">
      <c r="A13" s="3" t="s">
        <v>29</v>
      </c>
      <c r="B13" s="3" t="s">
        <v>30</v>
      </c>
      <c r="C13" s="3" t="s">
        <v>31</v>
      </c>
    </row>
    <row r="14" spans="1:8" ht="19.95" customHeight="1" x14ac:dyDescent="0.3">
      <c r="A14" s="2" t="s">
        <v>32</v>
      </c>
      <c r="B14" s="4">
        <v>4</v>
      </c>
      <c r="C14" s="2" t="s">
        <v>33</v>
      </c>
    </row>
    <row r="15" spans="1:8" ht="19.95" customHeight="1" x14ac:dyDescent="0.3">
      <c r="A15" s="2" t="s">
        <v>34</v>
      </c>
      <c r="B15" s="4">
        <v>5</v>
      </c>
      <c r="C15" s="2" t="s">
        <v>35</v>
      </c>
    </row>
    <row r="16" spans="1:8" ht="19.95" customHeight="1" x14ac:dyDescent="0.3">
      <c r="A16" s="2" t="s">
        <v>36</v>
      </c>
      <c r="B16" s="4">
        <v>4</v>
      </c>
      <c r="C16" s="2" t="s">
        <v>37</v>
      </c>
    </row>
    <row r="17" spans="1:3" ht="27" customHeight="1" x14ac:dyDescent="0.3">
      <c r="A17" s="2" t="s">
        <v>38</v>
      </c>
      <c r="B17" s="4">
        <v>4</v>
      </c>
      <c r="C17" s="2" t="s">
        <v>39</v>
      </c>
    </row>
    <row r="18" spans="1:3" ht="27" customHeight="1" x14ac:dyDescent="0.3">
      <c r="A18" s="2" t="s">
        <v>40</v>
      </c>
      <c r="B18" s="4">
        <v>6</v>
      </c>
      <c r="C18" s="2" t="s">
        <v>41</v>
      </c>
    </row>
    <row r="19" spans="1:3" ht="19.95" customHeight="1" x14ac:dyDescent="0.3">
      <c r="A19" s="2" t="s">
        <v>42</v>
      </c>
      <c r="B19" s="4">
        <v>5</v>
      </c>
      <c r="C19" s="2" t="s">
        <v>43</v>
      </c>
    </row>
    <row r="20" spans="1:3" ht="19.95" customHeight="1" x14ac:dyDescent="0.3">
      <c r="A20" s="2" t="s">
        <v>44</v>
      </c>
      <c r="B20" s="4">
        <v>3</v>
      </c>
      <c r="C20" s="2" t="s">
        <v>45</v>
      </c>
    </row>
    <row r="21" spans="1:3" ht="19.95" customHeight="1" x14ac:dyDescent="0.3">
      <c r="A21" s="2" t="s">
        <v>46</v>
      </c>
      <c r="B21" s="4">
        <v>3</v>
      </c>
      <c r="C21" s="2" t="s">
        <v>47</v>
      </c>
    </row>
    <row r="22" spans="1:3" ht="19.95" customHeight="1" x14ac:dyDescent="0.3">
      <c r="A22" s="2" t="s">
        <v>48</v>
      </c>
      <c r="B22" s="4">
        <v>4</v>
      </c>
      <c r="C22" s="2" t="s">
        <v>49</v>
      </c>
    </row>
    <row r="23" spans="1:3" ht="19.95" customHeight="1" x14ac:dyDescent="0.3">
      <c r="A23" s="2" t="s">
        <v>50</v>
      </c>
      <c r="B23" s="4">
        <v>3</v>
      </c>
      <c r="C23" s="2" t="s">
        <v>51</v>
      </c>
    </row>
    <row r="24" spans="1:3" ht="19.95" customHeight="1" x14ac:dyDescent="0.3">
      <c r="A24" s="2" t="s">
        <v>52</v>
      </c>
      <c r="B24" s="4">
        <v>4</v>
      </c>
      <c r="C24" s="2" t="s">
        <v>53</v>
      </c>
    </row>
    <row r="25" spans="1:3" ht="19.95" customHeight="1" x14ac:dyDescent="0.3">
      <c r="A25" s="2" t="s">
        <v>54</v>
      </c>
      <c r="B25" s="4">
        <v>3</v>
      </c>
      <c r="C25" s="2" t="s">
        <v>55</v>
      </c>
    </row>
    <row r="26" spans="1:3" ht="19.95" customHeight="1" x14ac:dyDescent="0.3">
      <c r="A26" s="2" t="s">
        <v>56</v>
      </c>
      <c r="B26" s="4">
        <v>3</v>
      </c>
      <c r="C26" s="2" t="s">
        <v>57</v>
      </c>
    </row>
    <row r="27" spans="1:3" ht="19.95" customHeight="1" x14ac:dyDescent="0.3">
      <c r="A27" s="2" t="s">
        <v>58</v>
      </c>
      <c r="B27" s="4">
        <v>4</v>
      </c>
      <c r="C27" s="2" t="s">
        <v>59</v>
      </c>
    </row>
    <row r="28" spans="1:3" ht="19.95" customHeight="1" x14ac:dyDescent="0.3">
      <c r="A28" s="2" t="s">
        <v>60</v>
      </c>
      <c r="B28" s="4">
        <v>5</v>
      </c>
      <c r="C28" s="2" t="s">
        <v>61</v>
      </c>
    </row>
    <row r="29" spans="1:3" ht="19.95" customHeight="1" x14ac:dyDescent="0.3">
      <c r="A29" s="2" t="s">
        <v>62</v>
      </c>
      <c r="B29" s="4">
        <v>3</v>
      </c>
      <c r="C29" s="2" t="s">
        <v>63</v>
      </c>
    </row>
    <row r="30" spans="1:3" ht="19.95" customHeight="1" x14ac:dyDescent="0.3">
      <c r="A30" s="2" t="s">
        <v>64</v>
      </c>
      <c r="B30" s="4">
        <v>4</v>
      </c>
      <c r="C30" s="2" t="s">
        <v>65</v>
      </c>
    </row>
    <row r="31" spans="1:3" ht="28.05" customHeight="1" x14ac:dyDescent="0.3">
      <c r="A31" s="5" t="s">
        <v>66</v>
      </c>
      <c r="B31" s="6">
        <f>SUM(B14:B30)</f>
        <v>67</v>
      </c>
      <c r="C31" s="5" t="s">
        <v>67</v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showGridLines="0" topLeftCell="A2" zoomScale="86" workbookViewId="0">
      <selection activeCell="E10" sqref="E10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68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94.05" customHeight="1" x14ac:dyDescent="0.3">
      <c r="A3" s="7" t="s">
        <v>76</v>
      </c>
      <c r="B3" s="8" t="s">
        <v>543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</row>
    <row r="4" spans="1:7" ht="88.05" customHeight="1" x14ac:dyDescent="0.3">
      <c r="A4" s="7" t="s">
        <v>82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</row>
    <row r="5" spans="1:7" ht="94.05" customHeight="1" x14ac:dyDescent="0.3">
      <c r="A5" s="7" t="s">
        <v>89</v>
      </c>
      <c r="B5" s="8" t="s">
        <v>90</v>
      </c>
      <c r="C5" s="8" t="s">
        <v>91</v>
      </c>
      <c r="D5" s="8" t="s">
        <v>92</v>
      </c>
      <c r="E5" s="8" t="s">
        <v>93</v>
      </c>
      <c r="F5" s="8" t="s">
        <v>94</v>
      </c>
      <c r="G5" s="8" t="s">
        <v>95</v>
      </c>
    </row>
    <row r="6" spans="1:7" ht="88.05" customHeight="1" x14ac:dyDescent="0.3">
      <c r="A6" s="7" t="s">
        <v>96</v>
      </c>
      <c r="B6" s="8" t="s">
        <v>97</v>
      </c>
      <c r="C6" s="8" t="s">
        <v>98</v>
      </c>
      <c r="D6" s="8" t="s">
        <v>99</v>
      </c>
      <c r="E6" s="8" t="s">
        <v>100</v>
      </c>
      <c r="F6" s="8" t="s">
        <v>101</v>
      </c>
      <c r="G6" s="8" t="s">
        <v>102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showGridLines="0" zoomScale="70" zoomScaleNormal="70" workbookViewId="0">
      <selection activeCell="E5" sqref="E5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103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104</v>
      </c>
      <c r="B3" s="8" t="s">
        <v>105</v>
      </c>
      <c r="C3" s="8" t="s">
        <v>106</v>
      </c>
      <c r="D3" s="8" t="s">
        <v>107</v>
      </c>
      <c r="E3" s="8" t="s">
        <v>108</v>
      </c>
      <c r="F3" s="8" t="s">
        <v>109</v>
      </c>
      <c r="G3" s="8" t="s">
        <v>110</v>
      </c>
    </row>
    <row r="4" spans="1:7" ht="88.05" customHeight="1" x14ac:dyDescent="0.3">
      <c r="A4" s="7" t="s">
        <v>111</v>
      </c>
      <c r="B4" s="8" t="s">
        <v>112</v>
      </c>
      <c r="C4" s="8" t="s">
        <v>113</v>
      </c>
      <c r="D4" s="8" t="s">
        <v>114</v>
      </c>
      <c r="E4" s="8" t="s">
        <v>115</v>
      </c>
      <c r="F4" s="8" t="s">
        <v>116</v>
      </c>
      <c r="G4" s="8" t="s">
        <v>117</v>
      </c>
    </row>
    <row r="5" spans="1:7" ht="88.05" customHeight="1" x14ac:dyDescent="0.3">
      <c r="A5" s="7" t="s">
        <v>118</v>
      </c>
      <c r="B5" s="8" t="s">
        <v>119</v>
      </c>
      <c r="C5" s="8" t="s">
        <v>120</v>
      </c>
      <c r="D5" s="8" t="s">
        <v>121</v>
      </c>
      <c r="E5" s="8" t="s">
        <v>122</v>
      </c>
      <c r="F5" s="8" t="s">
        <v>123</v>
      </c>
      <c r="G5" s="8" t="s">
        <v>124</v>
      </c>
    </row>
    <row r="6" spans="1:7" ht="88.05" customHeight="1" x14ac:dyDescent="0.3">
      <c r="A6" s="7" t="s">
        <v>125</v>
      </c>
      <c r="B6" s="8" t="s">
        <v>126</v>
      </c>
      <c r="C6" s="8" t="s">
        <v>127</v>
      </c>
      <c r="D6" s="8" t="s">
        <v>128</v>
      </c>
      <c r="E6" s="8" t="s">
        <v>129</v>
      </c>
      <c r="F6" s="8" t="s">
        <v>130</v>
      </c>
      <c r="G6" s="8" t="s">
        <v>131</v>
      </c>
    </row>
    <row r="7" spans="1:7" ht="88.05" customHeight="1" x14ac:dyDescent="0.3">
      <c r="A7" s="7" t="s">
        <v>132</v>
      </c>
      <c r="B7" s="8" t="s">
        <v>133</v>
      </c>
      <c r="C7" s="8" t="s">
        <v>134</v>
      </c>
      <c r="D7" s="8" t="s">
        <v>135</v>
      </c>
      <c r="E7" s="8" t="s">
        <v>136</v>
      </c>
      <c r="F7" s="8" t="s">
        <v>137</v>
      </c>
      <c r="G7" s="8" t="s">
        <v>138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showGridLines="0" topLeftCell="A2" workbookViewId="0">
      <selection activeCell="E3" sqref="E3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139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140</v>
      </c>
      <c r="B3" s="8" t="s">
        <v>141</v>
      </c>
      <c r="C3" s="8" t="s">
        <v>142</v>
      </c>
      <c r="D3" s="8" t="s">
        <v>143</v>
      </c>
      <c r="E3" s="8" t="s">
        <v>144</v>
      </c>
      <c r="F3" s="8" t="s">
        <v>145</v>
      </c>
      <c r="G3" s="8" t="s">
        <v>146</v>
      </c>
    </row>
    <row r="4" spans="1:7" ht="88.05" customHeight="1" x14ac:dyDescent="0.3">
      <c r="A4" s="7" t="s">
        <v>147</v>
      </c>
      <c r="B4" s="8" t="s">
        <v>148</v>
      </c>
      <c r="C4" s="8" t="s">
        <v>149</v>
      </c>
      <c r="D4" s="8" t="s">
        <v>150</v>
      </c>
      <c r="E4" s="8" t="s">
        <v>151</v>
      </c>
      <c r="F4" s="8" t="s">
        <v>152</v>
      </c>
      <c r="G4" s="8" t="s">
        <v>153</v>
      </c>
    </row>
    <row r="5" spans="1:7" ht="88.05" customHeight="1" x14ac:dyDescent="0.3">
      <c r="A5" s="7" t="s">
        <v>154</v>
      </c>
      <c r="B5" s="8" t="s">
        <v>155</v>
      </c>
      <c r="C5" s="8" t="s">
        <v>156</v>
      </c>
      <c r="D5" s="8" t="s">
        <v>157</v>
      </c>
      <c r="E5" s="8" t="s">
        <v>158</v>
      </c>
      <c r="F5" s="8" t="s">
        <v>159</v>
      </c>
      <c r="G5" s="8" t="s">
        <v>160</v>
      </c>
    </row>
    <row r="6" spans="1:7" ht="88.05" customHeight="1" x14ac:dyDescent="0.3">
      <c r="A6" s="7" t="s">
        <v>161</v>
      </c>
      <c r="B6" s="8" t="s">
        <v>162</v>
      </c>
      <c r="C6" s="8" t="s">
        <v>163</v>
      </c>
      <c r="D6" s="8" t="s">
        <v>164</v>
      </c>
      <c r="E6" s="8" t="s">
        <v>165</v>
      </c>
      <c r="F6" s="8" t="s">
        <v>166</v>
      </c>
      <c r="G6" s="8" t="s">
        <v>167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showGridLines="0" topLeftCell="A2" workbookViewId="0">
      <selection activeCell="H2" sqref="H2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168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169</v>
      </c>
      <c r="B3" s="8" t="s">
        <v>170</v>
      </c>
      <c r="C3" s="8" t="s">
        <v>171</v>
      </c>
      <c r="D3" s="8" t="s">
        <v>172</v>
      </c>
      <c r="E3" s="8" t="s">
        <v>173</v>
      </c>
      <c r="F3" s="8" t="s">
        <v>174</v>
      </c>
      <c r="G3" s="8" t="s">
        <v>175</v>
      </c>
    </row>
    <row r="4" spans="1:7" ht="88.05" customHeight="1" x14ac:dyDescent="0.3">
      <c r="A4" s="7" t="s">
        <v>176</v>
      </c>
      <c r="B4" s="8" t="s">
        <v>177</v>
      </c>
      <c r="C4" s="8" t="s">
        <v>178</v>
      </c>
      <c r="D4" s="8" t="s">
        <v>179</v>
      </c>
      <c r="E4" s="8" t="s">
        <v>180</v>
      </c>
      <c r="F4" s="8" t="s">
        <v>181</v>
      </c>
      <c r="G4" s="8" t="s">
        <v>182</v>
      </c>
    </row>
    <row r="5" spans="1:7" ht="88.05" customHeight="1" x14ac:dyDescent="0.3">
      <c r="A5" s="7" t="s">
        <v>183</v>
      </c>
      <c r="B5" s="8" t="s">
        <v>184</v>
      </c>
      <c r="C5" s="8" t="s">
        <v>185</v>
      </c>
      <c r="D5" s="8" t="s">
        <v>186</v>
      </c>
      <c r="E5" s="8" t="s">
        <v>187</v>
      </c>
      <c r="F5" s="8" t="s">
        <v>188</v>
      </c>
      <c r="G5" s="8" t="s">
        <v>189</v>
      </c>
    </row>
    <row r="6" spans="1:7" ht="88.05" customHeight="1" x14ac:dyDescent="0.3">
      <c r="A6" s="7" t="s">
        <v>190</v>
      </c>
      <c r="B6" s="8" t="s">
        <v>191</v>
      </c>
      <c r="C6" s="8" t="s">
        <v>192</v>
      </c>
      <c r="D6" s="8" t="s">
        <v>193</v>
      </c>
      <c r="E6" s="8" t="s">
        <v>194</v>
      </c>
      <c r="F6" s="8" t="s">
        <v>195</v>
      </c>
      <c r="G6" s="8" t="s">
        <v>196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showGridLines="0" zoomScale="80" workbookViewId="0">
      <selection activeCell="E6" sqref="E6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197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198</v>
      </c>
      <c r="B3" s="8" t="s">
        <v>199</v>
      </c>
      <c r="C3" s="8" t="s">
        <v>200</v>
      </c>
      <c r="D3" s="8" t="s">
        <v>201</v>
      </c>
      <c r="E3" s="8" t="s">
        <v>202</v>
      </c>
      <c r="F3" s="8" t="s">
        <v>203</v>
      </c>
      <c r="G3" s="8" t="s">
        <v>204</v>
      </c>
    </row>
    <row r="4" spans="1:7" ht="88.05" customHeight="1" x14ac:dyDescent="0.3">
      <c r="A4" s="7" t="s">
        <v>205</v>
      </c>
      <c r="B4" s="8" t="s">
        <v>206</v>
      </c>
      <c r="C4" s="8" t="s">
        <v>207</v>
      </c>
      <c r="D4" s="8" t="s">
        <v>208</v>
      </c>
      <c r="E4" s="8" t="s">
        <v>209</v>
      </c>
      <c r="F4" s="8" t="s">
        <v>210</v>
      </c>
      <c r="G4" s="8" t="s">
        <v>211</v>
      </c>
    </row>
    <row r="5" spans="1:7" ht="94.95" customHeight="1" x14ac:dyDescent="0.3">
      <c r="A5" s="7" t="s">
        <v>212</v>
      </c>
      <c r="B5" s="8" t="s">
        <v>213</v>
      </c>
      <c r="C5" s="8" t="s">
        <v>214</v>
      </c>
      <c r="D5" s="8" t="s">
        <v>215</v>
      </c>
      <c r="E5" s="8" t="s">
        <v>216</v>
      </c>
      <c r="F5" s="8" t="s">
        <v>217</v>
      </c>
      <c r="G5" s="8" t="s">
        <v>218</v>
      </c>
    </row>
    <row r="6" spans="1:7" ht="88.05" customHeight="1" x14ac:dyDescent="0.3">
      <c r="A6" s="7" t="s">
        <v>219</v>
      </c>
      <c r="B6" s="8" t="s">
        <v>220</v>
      </c>
      <c r="C6" s="8" t="s">
        <v>221</v>
      </c>
      <c r="D6" s="8" t="s">
        <v>222</v>
      </c>
      <c r="E6" s="8" t="s">
        <v>223</v>
      </c>
      <c r="F6" s="8" t="s">
        <v>224</v>
      </c>
      <c r="G6" s="8" t="s">
        <v>225</v>
      </c>
    </row>
    <row r="7" spans="1:7" ht="88.05" customHeight="1" x14ac:dyDescent="0.3">
      <c r="A7" s="7" t="s">
        <v>226</v>
      </c>
      <c r="B7" s="8" t="s">
        <v>227</v>
      </c>
      <c r="C7" s="8" t="s">
        <v>228</v>
      </c>
      <c r="D7" s="8" t="s">
        <v>229</v>
      </c>
      <c r="E7" s="8" t="s">
        <v>230</v>
      </c>
      <c r="F7" s="8" t="s">
        <v>231</v>
      </c>
      <c r="G7" s="8" t="s">
        <v>232</v>
      </c>
    </row>
    <row r="8" spans="1:7" ht="88.05" customHeight="1" x14ac:dyDescent="0.3">
      <c r="A8" s="7" t="s">
        <v>233</v>
      </c>
      <c r="B8" s="8" t="s">
        <v>234</v>
      </c>
      <c r="C8" s="8" t="s">
        <v>235</v>
      </c>
      <c r="D8" s="8" t="s">
        <v>99</v>
      </c>
      <c r="E8" s="8" t="s">
        <v>236</v>
      </c>
      <c r="F8" s="8" t="s">
        <v>237</v>
      </c>
      <c r="G8" s="8" t="s">
        <v>238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showGridLines="0" topLeftCell="A4" workbookViewId="0">
      <selection activeCell="C6" sqref="C6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239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240</v>
      </c>
      <c r="B3" s="8" t="s">
        <v>241</v>
      </c>
      <c r="C3" s="8" t="s">
        <v>242</v>
      </c>
      <c r="D3" s="8" t="s">
        <v>243</v>
      </c>
      <c r="E3" s="8" t="s">
        <v>544</v>
      </c>
      <c r="F3" s="8" t="s">
        <v>244</v>
      </c>
      <c r="G3" s="8" t="s">
        <v>245</v>
      </c>
    </row>
    <row r="4" spans="1:7" ht="88.05" customHeight="1" x14ac:dyDescent="0.3">
      <c r="A4" s="7" t="s">
        <v>246</v>
      </c>
      <c r="B4" s="8" t="s">
        <v>247</v>
      </c>
      <c r="C4" s="8" t="s">
        <v>248</v>
      </c>
      <c r="D4" s="8" t="s">
        <v>249</v>
      </c>
      <c r="E4" s="8" t="s">
        <v>250</v>
      </c>
      <c r="F4" s="8" t="s">
        <v>251</v>
      </c>
      <c r="G4" s="8" t="s">
        <v>252</v>
      </c>
    </row>
    <row r="5" spans="1:7" ht="88.05" customHeight="1" x14ac:dyDescent="0.3">
      <c r="A5" s="7" t="s">
        <v>253</v>
      </c>
      <c r="B5" s="8" t="s">
        <v>254</v>
      </c>
      <c r="C5" s="8" t="s">
        <v>255</v>
      </c>
      <c r="D5" s="8" t="s">
        <v>256</v>
      </c>
      <c r="E5" s="8" t="s">
        <v>257</v>
      </c>
      <c r="F5" s="8" t="s">
        <v>258</v>
      </c>
      <c r="G5" s="8" t="s">
        <v>259</v>
      </c>
    </row>
    <row r="6" spans="1:7" ht="88.05" customHeight="1" x14ac:dyDescent="0.3">
      <c r="A6" s="7" t="s">
        <v>260</v>
      </c>
      <c r="B6" s="8" t="s">
        <v>261</v>
      </c>
      <c r="C6" s="8" t="s">
        <v>262</v>
      </c>
      <c r="D6" s="8" t="s">
        <v>263</v>
      </c>
      <c r="E6" s="8" t="s">
        <v>264</v>
      </c>
      <c r="F6" s="8" t="s">
        <v>265</v>
      </c>
      <c r="G6" s="8" t="s">
        <v>266</v>
      </c>
    </row>
    <row r="7" spans="1:7" ht="88.05" customHeight="1" x14ac:dyDescent="0.3">
      <c r="A7" s="7" t="s">
        <v>267</v>
      </c>
      <c r="B7" s="8" t="s">
        <v>268</v>
      </c>
      <c r="C7" s="8" t="s">
        <v>269</v>
      </c>
      <c r="D7" s="8" t="s">
        <v>270</v>
      </c>
      <c r="E7" s="8" t="s">
        <v>271</v>
      </c>
      <c r="F7" s="8" t="s">
        <v>272</v>
      </c>
      <c r="G7" s="8" t="s">
        <v>273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showGridLines="0" tabSelected="1" workbookViewId="0">
      <selection activeCell="E5" sqref="E5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274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275</v>
      </c>
      <c r="B3" s="8" t="s">
        <v>276</v>
      </c>
      <c r="C3" s="8" t="s">
        <v>277</v>
      </c>
      <c r="D3" s="8" t="s">
        <v>278</v>
      </c>
      <c r="E3" s="8" t="s">
        <v>279</v>
      </c>
      <c r="F3" s="8" t="s">
        <v>280</v>
      </c>
      <c r="G3" s="8" t="s">
        <v>281</v>
      </c>
    </row>
    <row r="4" spans="1:7" ht="88.05" customHeight="1" x14ac:dyDescent="0.3">
      <c r="A4" s="7" t="s">
        <v>282</v>
      </c>
      <c r="B4" s="8" t="s">
        <v>276</v>
      </c>
      <c r="C4" s="8" t="s">
        <v>283</v>
      </c>
      <c r="D4" s="8" t="s">
        <v>270</v>
      </c>
      <c r="E4" s="8" t="s">
        <v>284</v>
      </c>
      <c r="F4" s="8" t="s">
        <v>285</v>
      </c>
      <c r="G4" s="8" t="s">
        <v>286</v>
      </c>
    </row>
    <row r="5" spans="1:7" ht="88.05" customHeight="1" x14ac:dyDescent="0.3">
      <c r="A5" s="7" t="s">
        <v>287</v>
      </c>
      <c r="B5" s="8" t="s">
        <v>288</v>
      </c>
      <c r="C5" s="8" t="s">
        <v>289</v>
      </c>
      <c r="D5" s="8" t="s">
        <v>290</v>
      </c>
      <c r="E5" s="8" t="s">
        <v>291</v>
      </c>
      <c r="F5" s="8" t="s">
        <v>292</v>
      </c>
      <c r="G5" s="8" t="s">
        <v>293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showGridLines="0" workbookViewId="0">
      <selection activeCell="H2" sqref="H2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294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295</v>
      </c>
      <c r="B3" s="8" t="s">
        <v>296</v>
      </c>
      <c r="C3" s="8" t="s">
        <v>297</v>
      </c>
      <c r="D3" s="8" t="s">
        <v>298</v>
      </c>
      <c r="E3" s="8" t="s">
        <v>299</v>
      </c>
      <c r="F3" s="8" t="s">
        <v>300</v>
      </c>
      <c r="G3" s="8" t="s">
        <v>301</v>
      </c>
    </row>
    <row r="4" spans="1:7" ht="88.05" customHeight="1" x14ac:dyDescent="0.3">
      <c r="A4" s="7" t="s">
        <v>302</v>
      </c>
      <c r="B4" s="8" t="s">
        <v>303</v>
      </c>
      <c r="C4" s="8" t="s">
        <v>304</v>
      </c>
      <c r="D4" s="8" t="s">
        <v>305</v>
      </c>
      <c r="E4" s="8" t="s">
        <v>306</v>
      </c>
      <c r="F4" s="8" t="s">
        <v>307</v>
      </c>
      <c r="G4" s="8" t="s">
        <v>308</v>
      </c>
    </row>
    <row r="5" spans="1:7" ht="88.05" customHeight="1" x14ac:dyDescent="0.3">
      <c r="A5" s="7" t="s">
        <v>309</v>
      </c>
      <c r="B5" s="8" t="s">
        <v>310</v>
      </c>
      <c r="C5" s="8" t="s">
        <v>311</v>
      </c>
      <c r="D5" s="8" t="s">
        <v>312</v>
      </c>
      <c r="E5" s="8" t="s">
        <v>313</v>
      </c>
      <c r="F5" s="8" t="s">
        <v>314</v>
      </c>
      <c r="G5" s="8" t="s">
        <v>315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showGridLines="0" workbookViewId="0">
      <selection activeCell="H2" sqref="H2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316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317</v>
      </c>
      <c r="B3" s="8" t="s">
        <v>318</v>
      </c>
      <c r="C3" s="8" t="s">
        <v>319</v>
      </c>
      <c r="D3" s="8" t="s">
        <v>320</v>
      </c>
      <c r="E3" s="8" t="s">
        <v>321</v>
      </c>
      <c r="F3" s="8" t="s">
        <v>322</v>
      </c>
      <c r="G3" s="8" t="s">
        <v>323</v>
      </c>
    </row>
    <row r="4" spans="1:7" ht="88.05" customHeight="1" x14ac:dyDescent="0.3">
      <c r="A4" s="7" t="s">
        <v>324</v>
      </c>
      <c r="B4" s="8" t="s">
        <v>325</v>
      </c>
      <c r="C4" s="8" t="s">
        <v>326</v>
      </c>
      <c r="D4" s="8" t="s">
        <v>327</v>
      </c>
      <c r="E4" s="8" t="s">
        <v>328</v>
      </c>
      <c r="F4" s="8" t="s">
        <v>329</v>
      </c>
      <c r="G4" s="8" t="s">
        <v>330</v>
      </c>
    </row>
    <row r="5" spans="1:7" ht="88.05" customHeight="1" x14ac:dyDescent="0.3">
      <c r="A5" s="7" t="s">
        <v>331</v>
      </c>
      <c r="B5" s="8" t="s">
        <v>325</v>
      </c>
      <c r="C5" s="8" t="s">
        <v>332</v>
      </c>
      <c r="D5" s="8" t="s">
        <v>333</v>
      </c>
      <c r="E5" s="8" t="s">
        <v>334</v>
      </c>
      <c r="F5" s="8" t="s">
        <v>335</v>
      </c>
      <c r="G5" s="8" t="s">
        <v>336</v>
      </c>
    </row>
    <row r="6" spans="1:7" ht="88.05" customHeight="1" x14ac:dyDescent="0.3">
      <c r="A6" s="7" t="s">
        <v>337</v>
      </c>
      <c r="B6" s="8" t="s">
        <v>318</v>
      </c>
      <c r="C6" s="8" t="s">
        <v>338</v>
      </c>
      <c r="D6" s="8" t="s">
        <v>327</v>
      </c>
      <c r="E6" s="8" t="s">
        <v>339</v>
      </c>
      <c r="F6" s="8" t="s">
        <v>340</v>
      </c>
      <c r="G6" s="8" t="s">
        <v>341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showGridLines="0" topLeftCell="F1" workbookViewId="0">
      <selection activeCell="H2" sqref="H2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342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343</v>
      </c>
      <c r="B3" s="8" t="s">
        <v>344</v>
      </c>
      <c r="C3" s="8" t="s">
        <v>345</v>
      </c>
      <c r="D3" s="8" t="s">
        <v>346</v>
      </c>
      <c r="E3" s="8" t="s">
        <v>347</v>
      </c>
      <c r="F3" s="8" t="s">
        <v>348</v>
      </c>
      <c r="G3" s="8" t="s">
        <v>349</v>
      </c>
    </row>
    <row r="4" spans="1:7" ht="88.05" customHeight="1" x14ac:dyDescent="0.3">
      <c r="A4" s="7" t="s">
        <v>350</v>
      </c>
      <c r="B4" s="8" t="s">
        <v>351</v>
      </c>
      <c r="C4" s="8" t="s">
        <v>352</v>
      </c>
      <c r="D4" s="8" t="s">
        <v>353</v>
      </c>
      <c r="E4" s="8" t="s">
        <v>354</v>
      </c>
      <c r="F4" s="8" t="s">
        <v>355</v>
      </c>
      <c r="G4" s="8" t="s">
        <v>356</v>
      </c>
    </row>
    <row r="5" spans="1:7" ht="88.05" customHeight="1" x14ac:dyDescent="0.3">
      <c r="A5" s="7" t="s">
        <v>357</v>
      </c>
      <c r="B5" s="8" t="s">
        <v>344</v>
      </c>
      <c r="C5" s="8" t="s">
        <v>358</v>
      </c>
      <c r="D5" s="8" t="s">
        <v>359</v>
      </c>
      <c r="E5" s="8" t="s">
        <v>360</v>
      </c>
      <c r="F5" s="8" t="s">
        <v>361</v>
      </c>
      <c r="G5" s="8" t="s">
        <v>362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"/>
  <sheetViews>
    <sheetView showGridLines="0" topLeftCell="F1" workbookViewId="0">
      <selection activeCell="H2" sqref="H2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363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364</v>
      </c>
      <c r="B3" s="8" t="s">
        <v>365</v>
      </c>
      <c r="C3" s="8" t="s">
        <v>366</v>
      </c>
      <c r="D3" s="8" t="s">
        <v>367</v>
      </c>
      <c r="E3" s="8" t="s">
        <v>368</v>
      </c>
      <c r="F3" s="8" t="s">
        <v>369</v>
      </c>
      <c r="G3" s="8" t="s">
        <v>370</v>
      </c>
    </row>
    <row r="4" spans="1:7" ht="88.05" customHeight="1" x14ac:dyDescent="0.3">
      <c r="A4" s="7" t="s">
        <v>371</v>
      </c>
      <c r="B4" s="8" t="s">
        <v>365</v>
      </c>
      <c r="C4" s="8" t="s">
        <v>372</v>
      </c>
      <c r="D4" s="8" t="s">
        <v>373</v>
      </c>
      <c r="E4" s="8" t="s">
        <v>374</v>
      </c>
      <c r="F4" s="8" t="s">
        <v>375</v>
      </c>
      <c r="G4" s="8" t="s">
        <v>376</v>
      </c>
    </row>
    <row r="5" spans="1:7" ht="88.05" customHeight="1" x14ac:dyDescent="0.3">
      <c r="A5" s="7" t="s">
        <v>377</v>
      </c>
      <c r="B5" s="8" t="s">
        <v>365</v>
      </c>
      <c r="C5" s="8" t="s">
        <v>378</v>
      </c>
      <c r="D5" s="8" t="s">
        <v>379</v>
      </c>
      <c r="E5" s="8" t="s">
        <v>380</v>
      </c>
      <c r="F5" s="8" t="s">
        <v>381</v>
      </c>
      <c r="G5" s="8" t="s">
        <v>382</v>
      </c>
    </row>
    <row r="6" spans="1:7" ht="88.05" customHeight="1" x14ac:dyDescent="0.3">
      <c r="A6" s="7" t="s">
        <v>383</v>
      </c>
      <c r="B6" s="8" t="s">
        <v>384</v>
      </c>
      <c r="C6" s="8" t="s">
        <v>385</v>
      </c>
      <c r="D6" s="8" t="s">
        <v>290</v>
      </c>
      <c r="E6" s="8" t="s">
        <v>386</v>
      </c>
      <c r="F6" s="8" t="s">
        <v>387</v>
      </c>
      <c r="G6" s="8" t="s">
        <v>388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"/>
  <sheetViews>
    <sheetView showGridLines="0" topLeftCell="F1" workbookViewId="0">
      <selection activeCell="H2" sqref="H2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389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390</v>
      </c>
      <c r="B3" s="8" t="s">
        <v>391</v>
      </c>
      <c r="C3" s="8" t="s">
        <v>392</v>
      </c>
      <c r="D3" s="8" t="s">
        <v>393</v>
      </c>
      <c r="E3" s="8" t="s">
        <v>394</v>
      </c>
      <c r="F3" s="8" t="s">
        <v>395</v>
      </c>
      <c r="G3" s="8" t="s">
        <v>396</v>
      </c>
    </row>
    <row r="4" spans="1:7" ht="88.05" customHeight="1" x14ac:dyDescent="0.3">
      <c r="A4" s="7" t="s">
        <v>397</v>
      </c>
      <c r="B4" s="8" t="s">
        <v>391</v>
      </c>
      <c r="C4" s="8" t="s">
        <v>398</v>
      </c>
      <c r="D4" s="8" t="s">
        <v>399</v>
      </c>
      <c r="E4" s="8" t="s">
        <v>400</v>
      </c>
      <c r="F4" s="8" t="s">
        <v>401</v>
      </c>
      <c r="G4" s="8" t="s">
        <v>402</v>
      </c>
    </row>
    <row r="5" spans="1:7" ht="88.05" customHeight="1" x14ac:dyDescent="0.3">
      <c r="A5" s="7" t="s">
        <v>403</v>
      </c>
      <c r="B5" s="8" t="s">
        <v>391</v>
      </c>
      <c r="C5" s="8" t="s">
        <v>404</v>
      </c>
      <c r="D5" s="8" t="s">
        <v>405</v>
      </c>
      <c r="E5" s="8" t="s">
        <v>406</v>
      </c>
      <c r="F5" s="8" t="s">
        <v>407</v>
      </c>
      <c r="G5" s="8" t="s">
        <v>408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"/>
  <sheetViews>
    <sheetView showGridLines="0" topLeftCell="F1" workbookViewId="0">
      <selection activeCell="H2" sqref="H2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409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410</v>
      </c>
      <c r="B3" s="8" t="s">
        <v>411</v>
      </c>
      <c r="C3" s="8" t="s">
        <v>412</v>
      </c>
      <c r="D3" s="8" t="s">
        <v>413</v>
      </c>
      <c r="E3" s="8" t="s">
        <v>414</v>
      </c>
      <c r="F3" s="8" t="s">
        <v>415</v>
      </c>
      <c r="G3" s="8" t="s">
        <v>416</v>
      </c>
    </row>
    <row r="4" spans="1:7" ht="88.05" customHeight="1" x14ac:dyDescent="0.3">
      <c r="A4" s="7" t="s">
        <v>417</v>
      </c>
      <c r="B4" s="8" t="s">
        <v>418</v>
      </c>
      <c r="C4" s="8" t="s">
        <v>419</v>
      </c>
      <c r="D4" s="8" t="s">
        <v>420</v>
      </c>
      <c r="E4" s="8" t="s">
        <v>421</v>
      </c>
      <c r="F4" s="8" t="s">
        <v>422</v>
      </c>
      <c r="G4" s="8" t="s">
        <v>423</v>
      </c>
    </row>
    <row r="5" spans="1:7" ht="88.05" customHeight="1" x14ac:dyDescent="0.3">
      <c r="A5" s="7" t="s">
        <v>424</v>
      </c>
      <c r="B5" s="8" t="s">
        <v>425</v>
      </c>
      <c r="C5" s="8" t="s">
        <v>426</v>
      </c>
      <c r="D5" s="8" t="s">
        <v>427</v>
      </c>
      <c r="E5" s="8" t="s">
        <v>428</v>
      </c>
      <c r="F5" s="8" t="s">
        <v>429</v>
      </c>
      <c r="G5" s="8" t="s">
        <v>430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"/>
  <sheetViews>
    <sheetView showGridLines="0" workbookViewId="0">
      <selection activeCell="G6" sqref="G6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431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432</v>
      </c>
      <c r="B3" s="8" t="s">
        <v>126</v>
      </c>
      <c r="C3" s="8" t="s">
        <v>433</v>
      </c>
      <c r="D3" s="8" t="s">
        <v>434</v>
      </c>
      <c r="E3" s="8" t="s">
        <v>435</v>
      </c>
      <c r="F3" s="8" t="s">
        <v>436</v>
      </c>
      <c r="G3" s="8" t="s">
        <v>131</v>
      </c>
    </row>
    <row r="4" spans="1:7" ht="88.05" customHeight="1" x14ac:dyDescent="0.3">
      <c r="A4" s="7" t="s">
        <v>437</v>
      </c>
      <c r="B4" s="8" t="s">
        <v>438</v>
      </c>
      <c r="C4" s="8" t="s">
        <v>439</v>
      </c>
      <c r="D4" s="8" t="s">
        <v>440</v>
      </c>
      <c r="E4" s="8" t="s">
        <v>441</v>
      </c>
      <c r="F4" s="8" t="s">
        <v>442</v>
      </c>
      <c r="G4" s="8" t="s">
        <v>443</v>
      </c>
    </row>
    <row r="5" spans="1:7" ht="88.05" customHeight="1" x14ac:dyDescent="0.3">
      <c r="A5" s="7" t="s">
        <v>444</v>
      </c>
      <c r="B5" s="8" t="s">
        <v>445</v>
      </c>
      <c r="C5" s="8" t="s">
        <v>446</v>
      </c>
      <c r="D5" s="8" t="s">
        <v>447</v>
      </c>
      <c r="E5" s="8" t="s">
        <v>448</v>
      </c>
      <c r="F5" s="8" t="s">
        <v>449</v>
      </c>
      <c r="G5" s="8" t="s">
        <v>450</v>
      </c>
    </row>
    <row r="6" spans="1:7" ht="88.05" customHeight="1" x14ac:dyDescent="0.3">
      <c r="A6" s="7" t="s">
        <v>451</v>
      </c>
      <c r="B6" s="8" t="s">
        <v>452</v>
      </c>
      <c r="C6" s="8" t="s">
        <v>453</v>
      </c>
      <c r="D6" s="8" t="s">
        <v>270</v>
      </c>
      <c r="E6" s="8" t="s">
        <v>454</v>
      </c>
      <c r="F6" s="8" t="s">
        <v>455</v>
      </c>
      <c r="G6" s="8" t="s">
        <v>456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"/>
  <sheetViews>
    <sheetView showGridLines="0" workbookViewId="0">
      <selection activeCell="H2" sqref="H2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457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458</v>
      </c>
      <c r="B3" s="8" t="s">
        <v>459</v>
      </c>
      <c r="C3" s="8" t="s">
        <v>460</v>
      </c>
      <c r="D3" s="8" t="s">
        <v>461</v>
      </c>
      <c r="E3" s="8" t="s">
        <v>462</v>
      </c>
      <c r="F3" s="8" t="s">
        <v>463</v>
      </c>
      <c r="G3" s="8" t="s">
        <v>464</v>
      </c>
    </row>
    <row r="4" spans="1:7" ht="88.05" customHeight="1" x14ac:dyDescent="0.3">
      <c r="A4" s="7" t="s">
        <v>465</v>
      </c>
      <c r="B4" s="8" t="s">
        <v>466</v>
      </c>
      <c r="C4" s="8" t="s">
        <v>467</v>
      </c>
      <c r="D4" s="8" t="s">
        <v>468</v>
      </c>
      <c r="E4" s="8" t="s">
        <v>469</v>
      </c>
      <c r="F4" s="8" t="s">
        <v>470</v>
      </c>
      <c r="G4" s="8" t="s">
        <v>471</v>
      </c>
    </row>
    <row r="5" spans="1:7" ht="88.05" customHeight="1" x14ac:dyDescent="0.3">
      <c r="A5" s="7" t="s">
        <v>472</v>
      </c>
      <c r="B5" s="8" t="s">
        <v>473</v>
      </c>
      <c r="C5" s="8" t="s">
        <v>474</v>
      </c>
      <c r="D5" s="8" t="s">
        <v>475</v>
      </c>
      <c r="E5" s="8" t="s">
        <v>476</v>
      </c>
      <c r="F5" s="8" t="s">
        <v>477</v>
      </c>
      <c r="G5" s="8" t="s">
        <v>478</v>
      </c>
    </row>
    <row r="6" spans="1:7" ht="88.05" customHeight="1" x14ac:dyDescent="0.3">
      <c r="A6" s="7" t="s">
        <v>479</v>
      </c>
      <c r="B6" s="8" t="s">
        <v>480</v>
      </c>
      <c r="C6" s="8" t="s">
        <v>481</v>
      </c>
      <c r="D6" s="8" t="s">
        <v>99</v>
      </c>
      <c r="E6" s="8" t="s">
        <v>482</v>
      </c>
      <c r="F6" s="8" t="s">
        <v>483</v>
      </c>
      <c r="G6" s="8" t="s">
        <v>484</v>
      </c>
    </row>
    <row r="7" spans="1:7" ht="88.05" customHeight="1" x14ac:dyDescent="0.3">
      <c r="A7" s="7" t="s">
        <v>485</v>
      </c>
      <c r="B7" s="8" t="s">
        <v>486</v>
      </c>
      <c r="C7" s="8" t="s">
        <v>487</v>
      </c>
      <c r="D7" s="8" t="s">
        <v>488</v>
      </c>
      <c r="E7" s="8" t="s">
        <v>489</v>
      </c>
      <c r="F7" s="8" t="s">
        <v>490</v>
      </c>
      <c r="G7" s="8" t="s">
        <v>491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"/>
  <sheetViews>
    <sheetView showGridLines="0" workbookViewId="0">
      <selection activeCell="C7" sqref="C7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492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493</v>
      </c>
      <c r="B3" s="8" t="s">
        <v>494</v>
      </c>
      <c r="C3" s="8" t="s">
        <v>495</v>
      </c>
      <c r="D3" s="8" t="s">
        <v>496</v>
      </c>
      <c r="E3" s="8" t="s">
        <v>497</v>
      </c>
      <c r="F3" s="8" t="s">
        <v>498</v>
      </c>
      <c r="G3" s="8" t="s">
        <v>499</v>
      </c>
    </row>
    <row r="4" spans="1:7" ht="88.05" customHeight="1" x14ac:dyDescent="0.3">
      <c r="A4" s="7" t="s">
        <v>500</v>
      </c>
      <c r="B4" s="8" t="s">
        <v>494</v>
      </c>
      <c r="C4" s="8" t="s">
        <v>501</v>
      </c>
      <c r="D4" s="8" t="s">
        <v>502</v>
      </c>
      <c r="E4" s="8" t="s">
        <v>503</v>
      </c>
      <c r="F4" s="8" t="s">
        <v>504</v>
      </c>
      <c r="G4" s="8" t="s">
        <v>505</v>
      </c>
    </row>
    <row r="5" spans="1:7" ht="88.05" customHeight="1" x14ac:dyDescent="0.3">
      <c r="A5" s="7" t="s">
        <v>506</v>
      </c>
      <c r="B5" s="8" t="s">
        <v>494</v>
      </c>
      <c r="C5" s="8" t="s">
        <v>507</v>
      </c>
      <c r="D5" s="8" t="s">
        <v>508</v>
      </c>
      <c r="E5" s="8" t="s">
        <v>509</v>
      </c>
      <c r="F5" s="8" t="s">
        <v>510</v>
      </c>
      <c r="G5" s="8" t="s">
        <v>511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"/>
  <sheetViews>
    <sheetView showGridLines="0" workbookViewId="0">
      <selection activeCell="C4" sqref="C4"/>
    </sheetView>
  </sheetViews>
  <sheetFormatPr defaultRowHeight="14.4" x14ac:dyDescent="0.3"/>
  <cols>
    <col min="1" max="1" width="10" customWidth="1"/>
    <col min="2" max="2" width="22" customWidth="1"/>
    <col min="3" max="4" width="26" customWidth="1"/>
    <col min="5" max="5" width="55" customWidth="1"/>
    <col min="6" max="6" width="35" customWidth="1"/>
    <col min="7" max="7" width="26" customWidth="1"/>
  </cols>
  <sheetData>
    <row r="1" spans="1:7" ht="28.05" customHeight="1" x14ac:dyDescent="0.3">
      <c r="A1" s="9" t="s">
        <v>512</v>
      </c>
      <c r="B1" s="10"/>
      <c r="C1" s="10"/>
      <c r="D1" s="10"/>
      <c r="E1" s="10"/>
      <c r="F1" s="10"/>
      <c r="G1" s="10"/>
    </row>
    <row r="2" spans="1:7" ht="19.95" customHeight="1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</row>
    <row r="3" spans="1:7" ht="88.05" customHeight="1" x14ac:dyDescent="0.3">
      <c r="A3" s="7" t="s">
        <v>513</v>
      </c>
      <c r="B3" s="8" t="s">
        <v>514</v>
      </c>
      <c r="C3" s="8" t="s">
        <v>515</v>
      </c>
      <c r="D3" s="8" t="s">
        <v>516</v>
      </c>
      <c r="E3" s="8" t="s">
        <v>517</v>
      </c>
      <c r="F3" s="8" t="s">
        <v>518</v>
      </c>
      <c r="G3" s="8" t="s">
        <v>519</v>
      </c>
    </row>
    <row r="4" spans="1:7" ht="88.05" customHeight="1" x14ac:dyDescent="0.3">
      <c r="A4" s="7" t="s">
        <v>520</v>
      </c>
      <c r="B4" s="8" t="s">
        <v>521</v>
      </c>
      <c r="C4" s="8" t="s">
        <v>522</v>
      </c>
      <c r="D4" s="8" t="s">
        <v>523</v>
      </c>
      <c r="E4" s="8" t="s">
        <v>524</v>
      </c>
      <c r="F4" s="8" t="s">
        <v>525</v>
      </c>
      <c r="G4" s="8" t="s">
        <v>526</v>
      </c>
    </row>
    <row r="5" spans="1:7" ht="88.05" customHeight="1" x14ac:dyDescent="0.3">
      <c r="A5" s="7" t="s">
        <v>527</v>
      </c>
      <c r="B5" s="8" t="s">
        <v>528</v>
      </c>
      <c r="C5" s="8" t="s">
        <v>529</v>
      </c>
      <c r="D5" s="8" t="s">
        <v>530</v>
      </c>
      <c r="E5" s="8" t="s">
        <v>531</v>
      </c>
      <c r="F5" s="8" t="s">
        <v>532</v>
      </c>
      <c r="G5" s="8" t="s">
        <v>533</v>
      </c>
    </row>
    <row r="6" spans="1:7" ht="88.05" customHeight="1" x14ac:dyDescent="0.3">
      <c r="A6" s="7" t="s">
        <v>534</v>
      </c>
      <c r="B6" s="8" t="s">
        <v>535</v>
      </c>
      <c r="C6" s="8" t="s">
        <v>536</v>
      </c>
      <c r="D6" s="8" t="s">
        <v>537</v>
      </c>
      <c r="E6" s="8" t="s">
        <v>538</v>
      </c>
      <c r="F6" s="8" t="s">
        <v>539</v>
      </c>
      <c r="G6" s="8" t="s">
        <v>540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18</vt:i4>
      </vt:variant>
    </vt:vector>
  </HeadingPairs>
  <TitlesOfParts>
    <vt:vector size="18" baseType="lpstr">
      <vt:lpstr>0_Test_Plani_Ozeti</vt:lpstr>
      <vt:lpstr>T01_Sistem_Baslat</vt:lpstr>
      <vt:lpstr>T02_Kamera_I2C</vt:lpstr>
      <vt:lpstr>T03_MIPI_Goruntu</vt:lpstr>
      <vt:lpstr>T04_VDMA_DDR3</vt:lpstr>
      <vt:lpstr>T05_UDP_Iletimi</vt:lpstr>
      <vt:lpstr>T06_Python_Alici</vt:lpstr>
      <vt:lpstr>T07_Goruntu_Gosterimi</vt:lpstr>
      <vt:lpstr>T08_Distorsiyon</vt:lpstr>
      <vt:lpstr>T09_Stereo_Kalibrasyon</vt:lpstr>
      <vt:lpstr>T10_Stereo_Rektifikasyon</vt:lpstr>
      <vt:lpstr>T11_Disparity_Derinlik</vt:lpstr>
      <vt:lpstr>T12_Panorama</vt:lpstr>
      <vt:lpstr>T13_UART_Log</vt:lpstr>
      <vt:lpstr>T14_Hata_Yonetimi</vt:lpstr>
      <vt:lpstr>T15_Donanim</vt:lpstr>
      <vt:lpstr>T16_Stereo_Aparat</vt:lpstr>
      <vt:lpstr>T17_Performans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sena durarslan</cp:lastModifiedBy>
  <dcterms:created xsi:type="dcterms:W3CDTF">2026-05-05T22:24:23Z</dcterms:created>
  <dcterms:modified xsi:type="dcterms:W3CDTF">2026-05-12T06:29:58Z</dcterms:modified>
</cp:coreProperties>
</file>